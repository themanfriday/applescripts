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comments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ources" sheetId="2" state="visible" r:id="rId4"/>
    <sheet name="TeamStats_RawPaste" sheetId="3" state="visible" r:id="rId5"/>
    <sheet name="TeamStats_Archive" sheetId="4" state="visible" r:id="rId6"/>
    <sheet name="PlayerCore_RawPaste" sheetId="5" state="visible" r:id="rId7"/>
    <sheet name="PlayerCore_Archive" sheetId="6" state="visible" r:id="rId8"/>
    <sheet name="PlayerAdvanced_RawPaste" sheetId="7" state="visible" r:id="rId9"/>
    <sheet name="PlayerAdvanced_Archive" sheetId="8" state="visible" r:id="rId10"/>
    <sheet name="Season_Explorer" sheetId="9" state="visible" r:id="rId11"/>
    <sheet name="Dashboard" sheetId="10" state="visible" r:id="rId12"/>
    <sheet name="Setup_PowerQuery_Optional" sheetId="11" state="visible" r:id="rId13"/>
    <sheet name="Lists" sheetId="12" state="hidden" r:id="rId14"/>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EXAMPLE ROW using a fictitious team/player so nobody mistakes it for real data. Delete this row once you've pasted real data below it.</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EXAMPLE ROW using a fictitious team/player so nobody mistakes it for real data. Delete this row once you've pasted real data below it.</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EXAMPLE ROW using a fictitious team/player so nobody mistakes it for real data. Delete this row once you've pasted real data below it.</t>
        </r>
      </text>
    </comment>
  </commentList>
</comments>
</file>

<file path=xl/sharedStrings.xml><?xml version="1.0" encoding="utf-8"?>
<sst xmlns="http://schemas.openxmlformats.org/spreadsheetml/2006/main" count="236" uniqueCount="139">
  <si>
    <t xml:space="preserve">Premiership Rugby Analytics Workbook</t>
  </si>
  <si>
    <t xml:space="preserve">A standalone Excel tool for English Premiership Rugby team and player statistics, 2000/01 to present.</t>
  </si>
  <si>
    <t xml:space="preserve">How this workbook works</t>
  </si>
  <si>
    <t xml:space="preserve">This workbook does NOT auto-scrape the web. Modern rugby stats sites (the official Premiership Rugby site, ESPN, statbunker, etc.) render their tables with JavaScript, which Excel's web tools cannot read automatically. Instead, this workbook uses a simple, reliable manual workflow: you visit a recommended page, copy the table you see on screen, paste it into a 'Raw Paste' sheet here, and built-in formulas instantly clean and reshape it into a permanent historical record. This is slower than a one-click refresh, but it works with ANY site, never breaks when a website redesigns itself, and needs no macros, add-ins, or external connections — fully standalone, as requested.</t>
  </si>
  <si>
    <t xml:space="preserve">The 3-step workflow (repeat for each season / each update)</t>
  </si>
  <si>
    <t xml:space="preserve">1. Go to the 'Sources' sheet and open one of the recommended pages for the stat type you want (team standings, core player stats, or advanced player stats).</t>
  </si>
  <si>
    <t xml:space="preserve">2. Select and copy the table on that page, then paste it into the matching '...RawPaste' sheet at the marked paste zone. Fill in the Season and Source URL cells at the top.</t>
  </si>
  <si>
    <t xml:space="preserve">3. Copy the 'Ready to Archive' block next to the paste zone (values only, excluding the last grey helper column) and paste it into the row directly below the last row of the matching '...Archive' table. Excel automatically extends the table and fills in the grey helper column for you.</t>
  </si>
  <si>
    <t xml:space="preserve">Repeat this once per season to build up history back to 2000/01, then weekly during a season to keep it current.</t>
  </si>
  <si>
    <t xml:space="preserve">What's in the workbook</t>
  </si>
  <si>
    <t xml:space="preserve">• Sources — recommended pages to copy data from, and what to expect on each.</t>
  </si>
  <si>
    <t xml:space="preserve">• TeamStats_RawPaste / TeamStats_Archive — core team standings, every season 2000/01+.</t>
  </si>
  <si>
    <t xml:space="preserve">• PlayerCore_RawPaste / PlayerCore_Archive — core individual stats (appearances, tries, points, cards), every season 2000/01+.</t>
  </si>
  <si>
    <t xml:space="preserve">• PlayerAdvanced_RawPaste / PlayerAdvanced_Archive — advanced match stats (carries, metres, defenders beaten, tackles, turnovers). Reliable public data for these generally only exists for roughly the last 10-15 seasons — kept as a separate module rather than forced into the full historic archive.</t>
  </si>
  <si>
    <t xml:space="preserve">• Season_Explorer — pick any season from a dropdown and see its full standings table and chart, for season-to-season comparison.</t>
  </si>
  <si>
    <t xml:space="preserve">• Dashboard — a team's league points trend across every season, and the top 10 try scorers for any chosen season.</t>
  </si>
  <si>
    <t xml:space="preserve">• Setup_PowerQuery_Optional — an optional, ready-to-paste Power Query (M code) recipe that can auto-refresh the core team archive from Wikipedia, for anyone who wants to layer automation on top later. Entirely optional — the workbook is fully usable without it.</t>
  </si>
  <si>
    <t xml:space="preserve">Important notes</t>
  </si>
  <si>
    <t xml:space="preserve">• No real statistics are pre-loaded. Every Archive table ships with exactly one clearly marked EXAMPLE row using a fictitious team/player — delete it once you've pasted real data. This is deliberate: any numbers I typed in myself without being able to verify them live would risk being wrong, so the workbook starts empty and accurate rather than pre-filled and unverified.</t>
  </si>
  <si>
    <t xml:space="preserve">• Recommended source pages (Sources sheet) were selected from general knowledge of these sites, not a live visit — always double check the column layout matches what you paste, and adjust the RawPaste header row if a site's columns differ.</t>
  </si>
  <si>
    <t xml:space="preserve">• Team and competition names/sponsors have changed over the years (Allied Dunbar, Zurich, Guinness, Aviva, Gallagher Premiership are all the same competition). Use the season's own team names as shown on the source page for that season.</t>
  </si>
  <si>
    <t xml:space="preserve">Recommended pages to copy data from</t>
  </si>
  <si>
    <t xml:space="preserve">I could not browse these live while building this workbook (this build environment has no internet access), so these are based on general knowledge of each site rather than a fresh visit. Check the columns you see on screen match the RawPaste header row before pasting - if they don't, just edit the header row to match what you copied.</t>
  </si>
  <si>
    <t xml:space="preserve">Data type</t>
  </si>
  <si>
    <t xml:space="preserve">Recommended site</t>
  </si>
  <si>
    <t xml:space="preserve">What to copy</t>
  </si>
  <si>
    <t xml:space="preserve">Notes</t>
  </si>
  <si>
    <t xml:space="preserve">Team standings (any season, 2000/01+)</t>
  </si>
  <si>
    <t xml:space="preserve">en.wikipedia.org - search "20XX-YY Premiership Rugby" (e.g. 2024-25 Premiership Rugby)</t>
  </si>
  <si>
    <t xml:space="preserve">The 'Final table' / league table (Pos, Team, Pld, W, D, L, PF, PA, Diff, BP, Pts)</t>
  </si>
  <si>
    <t xml:space="preserve">Most reliable long-term source - plain HTML tables, one page per season back to 2000/01. Older seasons may be titled by that year's sponsor (Allied Dunbar/Zurich/Guinness/Aviva Premiership) - Wikipedia usually redirects these, but search if a direct link 404s.</t>
  </si>
  <si>
    <t xml:space="preserve">Team standings (current season, live)</t>
  </si>
  <si>
    <t xml:space="preserve">premiershiprugby.com - Tables page</t>
  </si>
  <si>
    <t xml:space="preserve">The live standings table</t>
  </si>
  <si>
    <t xml:space="preserve">Official source, good for the current season while it's in progress.</t>
  </si>
  <si>
    <t xml:space="preserve">Core player stats (tries, points, appearances)</t>
  </si>
  <si>
    <t xml:space="preserve">premiershiprugby.com - Stats page, or Wikipedia season page's 'Individual statistics' section where present</t>
  </si>
  <si>
    <t xml:space="preserve">Leading try scorers / points scorers table</t>
  </si>
  <si>
    <t xml:space="preserve">Wikipedia often only lists the top ~10-20 for older seasons, not every player - that's expected and fine, paste what's shown.</t>
  </si>
  <si>
    <t xml:space="preserve">Advanced player stats (carries, metres, tackles, defenders beaten, turnovers)</t>
  </si>
  <si>
    <t xml:space="preserve">premiershiprugby.com - Stats page (Attack / Defence / Discipline categories), or statbunker.com</t>
  </si>
  <si>
    <t xml:space="preserve">Whichever stat category table you need - one paste per category, repeated per season</t>
  </si>
  <si>
    <t xml:space="preserve">This level of detail is a modern tracking phenomenon - expect it to only be available for roughly the last 10-15 seasons, not back to 2000.</t>
  </si>
  <si>
    <t xml:space="preserve">Fixtures / results</t>
  </si>
  <si>
    <t xml:space="preserve">premiershiprugby.com - Fixtures page, or the Wikipedia season page's results section</t>
  </si>
  <si>
    <t xml:space="preserve">The fixtures/results table</t>
  </si>
  <si>
    <t xml:space="preserve">Useful for the upcoming 2026/27 season once fixtures are announced.</t>
  </si>
  <si>
    <t xml:space="preserve">TEAM STATS - RAW PASTE</t>
  </si>
  <si>
    <t xml:space="preserve">1) Open one of the recommended pages on the 'Sources' sheet.  2) Copy the full final league table.  3) Paste it starting at cell A7 below, keeping the header row intact (it's fine if your headers don't exactly match row 6 - just make sure the column ORDER matches: Position, Team, Played, Won, Drawn, Lost, Points For, Points Against, Points Diff, Bonus Points, League Points).  4) Fill in Season and Source URL below.  5) Copy the 'Ready to archive' block (columns N to AA only - NOT the grey Z column) and paste-values it into the row below the last row of the TeamStats_Archive table.</t>
  </si>
  <si>
    <t xml:space="preserve">Season:</t>
  </si>
  <si>
    <t xml:space="preserve">Source URL:</t>
  </si>
  <si>
    <t xml:space="preserve">Position</t>
  </si>
  <si>
    <t xml:space="preserve">Team</t>
  </si>
  <si>
    <t xml:space="preserve">Played</t>
  </si>
  <si>
    <t xml:space="preserve">Won</t>
  </si>
  <si>
    <t xml:space="preserve">Drawn</t>
  </si>
  <si>
    <t xml:space="preserve">Lost</t>
  </si>
  <si>
    <t xml:space="preserve">PointsFor</t>
  </si>
  <si>
    <t xml:space="preserve">PointsAgainst</t>
  </si>
  <si>
    <t xml:space="preserve">PointsDiff</t>
  </si>
  <si>
    <t xml:space="preserve">BonusPoints</t>
  </si>
  <si>
    <t xml:space="preserve">LeaguePoints</t>
  </si>
  <si>
    <t xml:space="preserve">Ready to archive → (copy N:AA only, paste-values below TeamStats_Archive table)</t>
  </si>
  <si>
    <t xml:space="preserve">Season</t>
  </si>
  <si>
    <t xml:space="preserve">SourceURL</t>
  </si>
  <si>
    <t xml:space="preserve">DateAdded</t>
  </si>
  <si>
    <t xml:space="preserve">SeasonPositionKey</t>
  </si>
  <si>
    <t xml:space="preserve">2025/26</t>
  </si>
  <si>
    <t xml:space="preserve">EXAMPLE RFC</t>
  </si>
  <si>
    <t xml:space="preserve">https://en.wikipedia.org/wiki/2025-26_Premiership_Rugby</t>
  </si>
  <si>
    <t xml:space="preserve">PLAYER CORE STATS - RAW PASTE</t>
  </si>
  <si>
    <t xml:space="preserve">1) Open a recommended page on 'Sources' for core player stats.  2) Copy the leading scorers / player stats table.  3) Paste it starting at cell A7, column order: Player, Team, Appearances, Tries, Points, Yellow Cards, Red Cards (leave cells blank if a source doesn't have a column - that's fine).  4) Fill in Season and Source URL below.  5) Copy the 'Ready to archive' block (columns J to Q only) and paste-values it into the row below the last row of the PlayerCore_Archive table.</t>
  </si>
  <si>
    <t xml:space="preserve">Player</t>
  </si>
  <si>
    <t xml:space="preserve">Appearances</t>
  </si>
  <si>
    <t xml:space="preserve">Tries</t>
  </si>
  <si>
    <t xml:space="preserve">Points</t>
  </si>
  <si>
    <t xml:space="preserve">YellowCards</t>
  </si>
  <si>
    <t xml:space="preserve">RedCards</t>
  </si>
  <si>
    <t xml:space="preserve">Ready to archive → (copy J:Q only, paste-values below PlayerCore_Archive table)</t>
  </si>
  <si>
    <t xml:space="preserve">TriesRankInSeason</t>
  </si>
  <si>
    <t xml:space="preserve">SeasonTriesRankKey</t>
  </si>
  <si>
    <t xml:space="preserve">Example Player</t>
  </si>
  <si>
    <t xml:space="preserve">PLAYER ADVANCED STATS - RAW PASTE</t>
  </si>
  <si>
    <t xml:space="preserve">This module is for modern match stats (carries, metres, defenders beaten, tackles, turnovers) - reliable data for these typically only exists for roughly the last 10-15 seasons, so don't worry about backfilling to 2000.  1) Open a recommended page on 'Sources' for advanced player stats (pick one stat category at a time, e.g. Attack, Defence).  2) Copy that table.  3) Paste it starting at A7, column order: Player, Team, Carries, Metres Made, Defenders Beaten, Clean Breaks, Offloads, Tackles, Tackle Success %, Turnovers - leave blank any columns your source doesn't have.  4) Fill in Season and Source URL below.  5) Copy the 'Ready to archive' block (columns M to Y) and paste-values it below the last row of PlayerAdvanced_Archive.</t>
  </si>
  <si>
    <t xml:space="preserve">Carries</t>
  </si>
  <si>
    <t xml:space="preserve">MetresMade</t>
  </si>
  <si>
    <t xml:space="preserve">DefendersBeaten</t>
  </si>
  <si>
    <t xml:space="preserve">CleanBreaks</t>
  </si>
  <si>
    <t xml:space="preserve">Offloads</t>
  </si>
  <si>
    <t xml:space="preserve">Tackles</t>
  </si>
  <si>
    <t xml:space="preserve">TackleSuccessPct</t>
  </si>
  <si>
    <t xml:space="preserve">Turnovers</t>
  </si>
  <si>
    <t xml:space="preserve">Ready to archive → (copy M:Y only, paste-values below PlayerAdvanced_Archive table)</t>
  </si>
  <si>
    <t xml:space="preserve">https://www.premiershiprugby.com/stats/</t>
  </si>
  <si>
    <t xml:space="preserve">Season Explorer</t>
  </si>
  <si>
    <t xml:space="preserve">Pick a season to see its full standings table below, for season-to-season comparison.</t>
  </si>
  <si>
    <t xml:space="preserve">Select Season:</t>
  </si>
  <si>
    <t xml:space="preserve">2026/27</t>
  </si>
  <si>
    <t xml:space="preserve">Key</t>
  </si>
  <si>
    <t xml:space="preserve">Dashboard</t>
  </si>
  <si>
    <t xml:space="preserve">Team trend across seasons</t>
  </si>
  <si>
    <t xml:space="preserve">Select Team (type exactly as it appears in TeamStats_Archive):</t>
  </si>
  <si>
    <t xml:space="preserve">2000/01</t>
  </si>
  <si>
    <t xml:space="preserve">2001/02</t>
  </si>
  <si>
    <t xml:space="preserve">2002/03</t>
  </si>
  <si>
    <t xml:space="preserve">2003/04</t>
  </si>
  <si>
    <t xml:space="preserve">2004/05</t>
  </si>
  <si>
    <t xml:space="preserve">2005/06</t>
  </si>
  <si>
    <t xml:space="preserve">2006/07</t>
  </si>
  <si>
    <t xml:space="preserve">2007/08</t>
  </si>
  <si>
    <t xml:space="preserve">2008/09</t>
  </si>
  <si>
    <t xml:space="preserve">2009/10</t>
  </si>
  <si>
    <t xml:space="preserve">2010/11</t>
  </si>
  <si>
    <t xml:space="preserve">2011/12</t>
  </si>
  <si>
    <t xml:space="preserve">2012/13</t>
  </si>
  <si>
    <t xml:space="preserve">2013/14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</si>
  <si>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</si>
  <si>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</si>
  <si>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</si>
  <si>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</si>
  <si>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</si>
  <si>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</si>
  <si>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</si>
  <si>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</si>
  <si>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</si>
  <si>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</si>
  <si>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</si>
  <si>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Top 10 try scorers - selected season</t>
  </si>
  <si>
    <t xml:space="preserve">Rank</t>
  </si>
  <si>
    <t xml:space="preserve">Optional: Power Query auto-refresh recipe (Wikipedia team standings)</t>
  </si>
  <si>
    <t xml:space="preserve">This is entirely optional. The workbook works fully without it - this is for anyone who wants to layer one-click automation on top of the manual workflow, for the Team Stats archive specifically (Wikipedia's plain HTML tables are the one source stable and simple enough for Power Query to read reliably; the player-stats sites generally are not, for the JavaScript-rendering reasons explained on the README sheet).</t>
  </si>
  <si>
    <t xml:space="preserve">This M code was written from general knowledge of Wikipedia's page structure, not tested live against the current pages (this workbook was built in an environment without internet access) - the article titles for older seasons in particular may need adjusting; expect to debug it a little the first time you run it.</t>
  </si>
  <si>
    <t xml:space="preserve">How to set it up:</t>
  </si>
  <si>
    <t xml:space="preserve">1. In Excel, go to Data &gt; Get Data &gt; From Other Sources &gt; Blank Query.</t>
  </si>
  <si>
    <t xml:space="preserve">2. In the query editor, go to Home &gt; Advanced Editor, delete the placeholder text, and paste in the M code below.</t>
  </si>
  <si>
    <t xml:space="preserve">3. Click Done, then Close &amp; Load To... and load it as a new table (or load it into the TeamStats_Archive table's query, if you're comfortable rewiring it).</t>
  </si>
  <si>
    <t xml:space="preserve">4. Right-click the query and set it to refresh automatically, or use Data &gt; Refresh All.</t>
  </si>
  <si>
    <t xml:space="preserve">M code:</t>
  </si>
  <si>
    <t xml:space="preserve">let
    Seasons = {2000..2026},
    GetSeasonTable = (StartYear as number) =&gt;
        let
            EndYearShort = Text.End(Number.ToText(StartYear + 1), 2),
            SeasonLabel = Number.ToText(StartYear) &amp; "/" &amp; EndYearShort,
            PageTitle = Number.ToText(StartYear) &amp; "-" &amp; EndYearShort &amp; "_Premiership_Rugby",
            Url = "https://en.wikipedia.org/wiki/" &amp; PageTitle,
            Result =
                try
                    let
                        Source = Web.Page(Web.Contents(Url)),
                        // Pick out the table that looks like the final league table -
                        // adjust the index [0] below if the wrong table comes back.
                        Candidates = Table.SelectRows(Source, each Table.ColumnCount(Data) &gt; 5),
                        LeagueTable = Candidates{0}[Data],
                        Promoted = Table.PromoteHeaders(LeagueTable, [PromoteAllScalars=true]),
                        WithSeason = Table.AddColumn(Promoted, "Season", each SeasonLabel)
                    in
                        WithSeason
                otherwise
                    null
        in
            Result,
    Tables = List.Transform(Seasons, each GetSeasonTable(_)),
    NonNull = List.Select(Tables, each _ &lt;&gt; null),
    Combined = Table.Combine(NonNull)
in
    Combined</t>
  </si>
</sst>
</file>

<file path=xl/styles.xml><?xml version="1.0" encoding="utf-8"?>
<styleSheet xmlns="http://schemas.openxmlformats.org/spreadsheetml/2006/main">
  <numFmts count="3">
    <numFmt numFmtId="164" formatCode="General"/>
    <numFmt numFmtId="165" formatCode="mm/dd/yy"/>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444444"/>
      <name val="Arial"/>
      <family val="0"/>
      <charset val="1"/>
    </font>
    <font>
      <b val="true"/>
      <sz val="13"/>
      <color rgb="FF1F3864"/>
      <name val="Arial"/>
      <family val="0"/>
      <charset val="1"/>
    </font>
    <font>
      <sz val="11"/>
      <name val="Arial"/>
      <family val="0"/>
      <charset val="1"/>
    </font>
    <font>
      <i val="true"/>
      <sz val="10"/>
      <color rgb="FF666666"/>
      <name val="Arial"/>
      <family val="0"/>
      <charset val="1"/>
    </font>
    <font>
      <b val="true"/>
      <sz val="11"/>
      <color rgb="FFFFFFFF"/>
      <name val="Arial"/>
      <family val="0"/>
      <charset val="1"/>
    </font>
    <font>
      <b val="true"/>
      <sz val="11"/>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sz val="10"/>
      <name val="Consolas"/>
      <family val="0"/>
      <charset val="1"/>
    </font>
  </fonts>
  <fills count="7">
    <fill>
      <patternFill patternType="none"/>
    </fill>
    <fill>
      <patternFill patternType="gray125"/>
    </fill>
    <fill>
      <patternFill patternType="solid">
        <fgColor rgb="FF1F3864"/>
        <bgColor rgb="FF333399"/>
      </patternFill>
    </fill>
    <fill>
      <patternFill patternType="solid">
        <fgColor rgb="FFFFFFCC"/>
        <bgColor rgb="FFFFF2CC"/>
      </patternFill>
    </fill>
    <fill>
      <patternFill patternType="solid">
        <fgColor rgb="FFD9E2F3"/>
        <bgColor rgb="FFD9D9D9"/>
      </patternFill>
    </fill>
    <fill>
      <patternFill patternType="solid">
        <fgColor rgb="FFF2F2F2"/>
        <bgColor rgb="FFF9F9F9"/>
      </patternFill>
    </fill>
    <fill>
      <patternFill patternType="solid">
        <fgColor rgb="FFFFF2C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5" fontId="7" fillId="6" borderId="0" xfId="0" applyFont="true" applyBorder="false" applyAlignment="false" applyProtection="false">
      <alignment horizontal="general" vertical="bottom" textRotation="0" wrapText="false" indent="0" shrinkToFit="false"/>
      <protection locked="true" hidden="false"/>
    </xf>
    <xf numFmtId="166" fontId="7"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F9F9F9"/>
      <rgbColor rgb="FFFFF2CC"/>
      <rgbColor rgb="FF99CCFF"/>
      <rgbColor rgb="FFFF99CC"/>
      <rgbColor rgb="FFCC99FF"/>
      <rgbColor rgb="FFFFCC99"/>
      <rgbColor rgb="FF4A7EBB"/>
      <rgbColor rgb="FF33CCCC"/>
      <rgbColor rgb="FF99CC00"/>
      <rgbColor rgb="FFFFCC00"/>
      <rgbColor rgb="FFFF9900"/>
      <rgbColor rgb="FFFF6600"/>
      <rgbColor rgb="FF666666"/>
      <rgbColor rgb="FF969696"/>
      <rgbColor rgb="FF1F3864"/>
      <rgbColor rgb="FF4F81BD"/>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Standings - League Points by Team (selected season)</a:t>
            </a:r>
          </a:p>
        </c:rich>
      </c:tx>
      <c:overlay val="0"/>
      <c:spPr>
        <a:noFill/>
        <a:ln w="0">
          <a:noFill/>
        </a:ln>
      </c:spPr>
    </c:title>
    <c:autoTitleDeleted val="0"/>
    <c:plotArea>
      <c:barChart>
        <c:barDir val="col"/>
        <c:grouping val="clustered"/>
        <c:varyColors val="0"/>
        <c:ser>
          <c:idx val="0"/>
          <c:order val="0"/>
          <c:tx>
            <c:strRef>
              <c:f>Season_Explorer!K6</c:f>
              <c:strCache>
                <c:ptCount val="1"/>
                <c:pt idx="0">
                  <c:v>LeaguePoints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Season_Explorer!$B$7:$B$22</c:f>
              <c:strCache>
                <c:ptCount val="16"/>
                <c:pt idx="0">
                  <c:v/>
                </c:pt>
                <c:pt idx="1">
                  <c:v/>
                </c:pt>
                <c:pt idx="2">
                  <c:v/>
                </c:pt>
                <c:pt idx="3">
                  <c:v/>
                </c:pt>
                <c:pt idx="4">
                  <c:v/>
                </c:pt>
                <c:pt idx="5">
                  <c:v/>
                </c:pt>
                <c:pt idx="6">
                  <c:v/>
                </c:pt>
                <c:pt idx="7">
                  <c:v/>
                </c:pt>
                <c:pt idx="8">
                  <c:v/>
                </c:pt>
                <c:pt idx="9">
                  <c:v/>
                </c:pt>
                <c:pt idx="10">
                  <c:v/>
                </c:pt>
                <c:pt idx="11">
                  <c:v/>
                </c:pt>
                <c:pt idx="12">
                  <c:v/>
                </c:pt>
                <c:pt idx="13">
                  <c:v/>
                </c:pt>
                <c:pt idx="14">
                  <c:v/>
                </c:pt>
                <c:pt idx="15">
                  <c:v/>
                </c:pt>
              </c:strCache>
            </c:strRef>
          </c:cat>
          <c:val>
            <c:numRef>
              <c:f>Season_Explorer!$K$7:$K$22</c:f>
              <c:numCache>
                <c:formatCode>General</c:formatCode>
                <c:ptCount val="16"/>
              </c:numCache>
            </c:numRef>
          </c:val>
        </c:ser>
        <c:gapWidth val="150"/>
        <c:overlap val="0"/>
        <c:axId val="66391559"/>
        <c:axId val="65387623"/>
      </c:barChart>
      <c:catAx>
        <c:axId val="6639155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Team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87623"/>
        <c:crosses val="autoZero"/>
        <c:auto val="1"/>
        <c:lblAlgn val="ctr"/>
        <c:lblOffset val="100"/>
        <c:noMultiLvlLbl val="0"/>
      </c:catAx>
      <c:valAx>
        <c:axId val="6538762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League Points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3915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League Points by Season - selected team</a:t>
            </a:r>
          </a:p>
        </c:rich>
      </c:tx>
      <c:overlay val="0"/>
      <c:spPr>
        <a:noFill/>
        <a:ln w="0">
          <a:noFill/>
        </a:ln>
      </c:spPr>
    </c:title>
    <c:autoTitleDeleted val="0"/>
    <c:plotArea>
      <c:lineChart>
        <c:grouping val="standard"/>
        <c:varyColors val="0"/>
        <c:ser>
          <c:idx val="0"/>
          <c:order val="0"/>
          <c:tx>
            <c:strRef>
              <c:f>Dashboard!B6</c:f>
              <c:strCache>
                <c:ptCount val="1"/>
                <c:pt idx="0">
                  <c:v>LeaguePoints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Dashboard!$A$7:$A$33</c:f>
              <c:strCache>
                <c:ptCount val="27"/>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pt idx="24">
                  <c:v>2024/25</c:v>
                </c:pt>
                <c:pt idx="25">
                  <c:v>2025/26</c:v>
                </c:pt>
                <c:pt idx="26">
                  <c:v>2026/27</c:v>
                </c:pt>
              </c:strCache>
            </c:strRef>
          </c:cat>
          <c:val>
            <c:numRef>
              <c:f>Dashboard!$B$7:$B$33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84</c:v>
                </c:pt>
                <c:pt idx="26">
                  <c:v>0</c:v>
                </c:pt>
              </c:numCache>
            </c:numRef>
          </c:val>
          <c:smooth val="1"/>
        </c:ser>
        <c:hiLowLines>
          <c:spPr>
            <a:ln w="0">
              <a:noFill/>
            </a:ln>
          </c:spPr>
        </c:hiLowLines>
        <c:marker val="0"/>
        <c:axId val="84233741"/>
        <c:axId val="58577257"/>
      </c:lineChart>
      <c:catAx>
        <c:axId val="8423374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Season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577257"/>
        <c:crosses val="autoZero"/>
        <c:auto val="1"/>
        <c:lblAlgn val="ctr"/>
        <c:lblOffset val="100"/>
        <c:noMultiLvlLbl val="0"/>
      </c:catAx>
      <c:valAx>
        <c:axId val="585772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League Points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23374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try scorers - selected season</a:t>
            </a:r>
          </a:p>
        </c:rich>
      </c:tx>
      <c:overlay val="0"/>
      <c:spPr>
        <a:noFill/>
        <a:ln w="0">
          <a:noFill/>
        </a:ln>
      </c:spPr>
    </c:title>
    <c:autoTitleDeleted val="0"/>
    <c:plotArea>
      <c:barChart>
        <c:barDir val="bar"/>
        <c:grouping val="clustered"/>
        <c:varyColors val="0"/>
        <c:ser>
          <c:idx val="0"/>
          <c:order val="0"/>
          <c:tx>
            <c:strRef>
              <c:f>Dashboard!D39</c:f>
              <c:strCache>
                <c:ptCount val="1"/>
                <c:pt idx="0">
                  <c:v>Tries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Dashboard!$B$40:$B$49</c:f>
              <c:strCache>
                <c:ptCount val="10"/>
                <c:pt idx="0">
                  <c:v/>
                </c:pt>
                <c:pt idx="1">
                  <c:v/>
                </c:pt>
                <c:pt idx="2">
                  <c:v/>
                </c:pt>
                <c:pt idx="3">
                  <c:v/>
                </c:pt>
                <c:pt idx="4">
                  <c:v/>
                </c:pt>
                <c:pt idx="5">
                  <c:v/>
                </c:pt>
                <c:pt idx="6">
                  <c:v/>
                </c:pt>
                <c:pt idx="7">
                  <c:v/>
                </c:pt>
                <c:pt idx="8">
                  <c:v/>
                </c:pt>
                <c:pt idx="9">
                  <c:v/>
                </c:pt>
              </c:strCache>
            </c:strRef>
          </c:cat>
          <c:val>
            <c:numRef>
              <c:f>Dashboard!$D$40:$D$49</c:f>
              <c:numCache>
                <c:formatCode>General</c:formatCode>
                <c:ptCount val="10"/>
              </c:numCache>
            </c:numRef>
          </c:val>
        </c:ser>
        <c:gapWidth val="150"/>
        <c:overlap val="0"/>
        <c:axId val="71375309"/>
        <c:axId val="15233823"/>
      </c:barChart>
      <c:catAx>
        <c:axId val="71375309"/>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Tries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233823"/>
        <c:crosses val="autoZero"/>
        <c:auto val="1"/>
        <c:lblAlgn val="ctr"/>
        <c:lblOffset val="100"/>
        <c:noMultiLvlLbl val="0"/>
      </c:catAx>
      <c:valAx>
        <c:axId val="15233823"/>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Player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3753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131040</xdr:rowOff>
    </xdr:from>
    <xdr:to>
      <xdr:col>8</xdr:col>
      <xdr:colOff>896400</xdr:colOff>
      <xdr:row>41</xdr:row>
      <xdr:rowOff>90000</xdr:rowOff>
    </xdr:to>
    <xdr:graphicFrame>
      <xdr:nvGraphicFramePr>
        <xdr:cNvPr id="0" name="Chart 1"/>
        <xdr:cNvGraphicFramePr/>
      </xdr:nvGraphicFramePr>
      <xdr:xfrm>
        <a:off x="888840" y="400068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130680</xdr:rowOff>
    </xdr:from>
    <xdr:to>
      <xdr:col>10</xdr:col>
      <xdr:colOff>664560</xdr:colOff>
      <xdr:row>19</xdr:row>
      <xdr:rowOff>136080</xdr:rowOff>
    </xdr:to>
    <xdr:graphicFrame>
      <xdr:nvGraphicFramePr>
        <xdr:cNvPr id="1" name="Chart 1"/>
        <xdr:cNvGraphicFramePr/>
      </xdr:nvGraphicFramePr>
      <xdr:xfrm>
        <a:off x="4444920" y="38088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34</xdr:row>
      <xdr:rowOff>156240</xdr:rowOff>
    </xdr:from>
    <xdr:to>
      <xdr:col>14</xdr:col>
      <xdr:colOff>699840</xdr:colOff>
      <xdr:row>55</xdr:row>
      <xdr:rowOff>100800</xdr:rowOff>
    </xdr:to>
    <xdr:graphicFrame>
      <xdr:nvGraphicFramePr>
        <xdr:cNvPr id="2" name="Chart 2"/>
        <xdr:cNvGraphicFramePr/>
      </xdr:nvGraphicFramePr>
      <xdr:xfrm>
        <a:off x="7515360" y="6858000"/>
        <a:ext cx="791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PlayerAdvancedArchive" displayName="PlayerAdvancedArchive" ref="A1:M2" headerRowCount="1" totalsRowCount="0" totalsRowShown="0">
  <autoFilter ref="A1:M2"/>
  <tableColumns count="13">
    <tableColumn id="1" name="Season"/>
    <tableColumn id="2" name="Player"/>
    <tableColumn id="3" name="Team"/>
    <tableColumn id="4" name="Carries"/>
    <tableColumn id="5" name="MetresMade"/>
    <tableColumn id="6" name="DefendersBeaten"/>
    <tableColumn id="7" name="CleanBreaks"/>
    <tableColumn id="8" name="Offloads"/>
    <tableColumn id="9" name="Tackles"/>
    <tableColumn id="10" name="TackleSuccessPct"/>
    <tableColumn id="11" name="Turnovers"/>
    <tableColumn id="12" name="SourceURL"/>
    <tableColumn id="13" name="DateAdded"/>
  </tableColumns>
</table>
</file>

<file path=xl/tables/table2.xml><?xml version="1.0" encoding="utf-8"?>
<table xmlns="http://schemas.openxmlformats.org/spreadsheetml/2006/main" id="2" name="PlayerCoreArchive" displayName="PlayerCoreArchive" ref="A1:L2" headerRowCount="1" totalsRowCount="0" totalsRowShown="0">
  <autoFilter ref="A1:L2"/>
  <tableColumns count="12">
    <tableColumn id="1" name="Season"/>
    <tableColumn id="2" name="Player"/>
    <tableColumn id="3" name="Team"/>
    <tableColumn id="4" name="Appearances"/>
    <tableColumn id="5" name="Tries"/>
    <tableColumn id="6" name="Points"/>
    <tableColumn id="7" name="YellowCards"/>
    <tableColumn id="8" name="RedCards"/>
    <tableColumn id="9" name="SourceURL"/>
    <tableColumn id="10" name="DateAdded"/>
    <tableColumn id="11" name="TriesRankInSeason"/>
    <tableColumn id="12" name="SeasonTriesRankKey"/>
  </tableColumns>
</table>
</file>

<file path=xl/tables/table3.xml><?xml version="1.0" encoding="utf-8"?>
<table xmlns="http://schemas.openxmlformats.org/spreadsheetml/2006/main" id="3" name="TeamStatsArchive" displayName="TeamStatsArchive" ref="A1:O2" headerRowCount="1" totalsRowCount="0" totalsRowShown="0">
  <autoFilter ref="A1:O2"/>
  <tableColumns count="15">
    <tableColumn id="1" name="Season"/>
    <tableColumn id="2" name="Team"/>
    <tableColumn id="3" name="Position"/>
    <tableColumn id="4" name="Played"/>
    <tableColumn id="5" name="Won"/>
    <tableColumn id="6" name="Drawn"/>
    <tableColumn id="7" name="Lost"/>
    <tableColumn id="8" name="PointsFor"/>
    <tableColumn id="9" name="PointsAgainst"/>
    <tableColumn id="10" name="PointsDiff"/>
    <tableColumn id="11" name="BonusPoints"/>
    <tableColumn id="12" name="LeaguePoints"/>
    <tableColumn id="13" name="SourceURL"/>
    <tableColumn id="14" name="DateAdded"/>
    <tableColumn id="15" name="SeasonPositionKe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Relationship Id="rId3"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Relationship Id="rId3"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Relationship Id="rId3"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05"/>
  </cols>
  <sheetData>
    <row r="2" customFormat="false" ht="19.7" hidden="false" customHeight="false" outlineLevel="0" collapsed="false">
      <c r="B2" s="1" t="s">
        <v>0</v>
      </c>
    </row>
    <row r="3" customFormat="false" ht="15" hidden="false" customHeight="false" outlineLevel="0" collapsed="false">
      <c r="B3" s="2" t="s">
        <v>1</v>
      </c>
    </row>
    <row r="6" customFormat="false" ht="16.15" hidden="false" customHeight="false" outlineLevel="0" collapsed="false">
      <c r="B6" s="3" t="s">
        <v>2</v>
      </c>
    </row>
    <row r="8" customFormat="false" ht="45" hidden="false" customHeight="true" outlineLevel="0" collapsed="false">
      <c r="B8" s="4" t="s">
        <v>3</v>
      </c>
    </row>
    <row r="10" customFormat="false" ht="16.15" hidden="false" customHeight="false" outlineLevel="0" collapsed="false">
      <c r="B10" s="3" t="s">
        <v>4</v>
      </c>
    </row>
    <row r="12" customFormat="false" ht="45" hidden="false" customHeight="true" outlineLevel="0" collapsed="false">
      <c r="B12" s="4" t="s">
        <v>5</v>
      </c>
    </row>
    <row r="14" customFormat="false" ht="45" hidden="false" customHeight="true" outlineLevel="0" collapsed="false">
      <c r="B14" s="4" t="s">
        <v>6</v>
      </c>
    </row>
    <row r="16" customFormat="false" ht="45" hidden="false" customHeight="true" outlineLevel="0" collapsed="false">
      <c r="B16" s="4" t="s">
        <v>7</v>
      </c>
    </row>
    <row r="18" customFormat="false" ht="45" hidden="false" customHeight="true" outlineLevel="0" collapsed="false">
      <c r="B18" s="4" t="s">
        <v>8</v>
      </c>
    </row>
    <row r="20" customFormat="false" ht="16.15" hidden="false" customHeight="false" outlineLevel="0" collapsed="false">
      <c r="B20" s="3" t="s">
        <v>9</v>
      </c>
    </row>
    <row r="22" customFormat="false" ht="30" hidden="false" customHeight="true" outlineLevel="0" collapsed="false">
      <c r="B22" s="4" t="s">
        <v>10</v>
      </c>
    </row>
    <row r="24" customFormat="false" ht="30" hidden="false" customHeight="true" outlineLevel="0" collapsed="false">
      <c r="B24" s="4" t="s">
        <v>11</v>
      </c>
    </row>
    <row r="26" customFormat="false" ht="30" hidden="false" customHeight="true" outlineLevel="0" collapsed="false">
      <c r="B26" s="4" t="s">
        <v>12</v>
      </c>
    </row>
    <row r="28" customFormat="false" ht="30" hidden="false" customHeight="true" outlineLevel="0" collapsed="false">
      <c r="B28" s="4" t="s">
        <v>13</v>
      </c>
    </row>
    <row r="30" customFormat="false" ht="30" hidden="false" customHeight="true" outlineLevel="0" collapsed="false">
      <c r="B30" s="4" t="s">
        <v>14</v>
      </c>
    </row>
    <row r="32" customFormat="false" ht="30" hidden="false" customHeight="true" outlineLevel="0" collapsed="false">
      <c r="B32" s="4" t="s">
        <v>15</v>
      </c>
    </row>
    <row r="34" customFormat="false" ht="30" hidden="false" customHeight="true" outlineLevel="0" collapsed="false">
      <c r="B34" s="4" t="s">
        <v>16</v>
      </c>
    </row>
    <row r="36" customFormat="false" ht="16.15" hidden="false" customHeight="false" outlineLevel="0" collapsed="false">
      <c r="B36" s="3" t="s">
        <v>17</v>
      </c>
    </row>
    <row r="38" customFormat="false" ht="30" hidden="false" customHeight="true" outlineLevel="0" collapsed="false">
      <c r="B38" s="4" t="s">
        <v>18</v>
      </c>
    </row>
    <row r="40" customFormat="false" ht="30" hidden="false" customHeight="true" outlineLevel="0" collapsed="false">
      <c r="B40" s="4" t="s">
        <v>19</v>
      </c>
    </row>
    <row r="42" customFormat="false" ht="30" hidden="false" customHeight="true" outlineLevel="0" collapsed="false">
      <c r="B42"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45"/>
    <col collapsed="false" customWidth="true" hidden="false" outlineLevel="0" max="4" min="4" style="0" width="55"/>
  </cols>
  <sheetData>
    <row r="1" customFormat="false" ht="19.7" hidden="false" customHeight="false" outlineLevel="0" collapsed="false">
      <c r="A1" s="5" t="s">
        <v>21</v>
      </c>
      <c r="B1" s="5"/>
      <c r="C1" s="5"/>
      <c r="D1" s="5"/>
    </row>
    <row r="2" customFormat="false" ht="45" hidden="false" customHeight="true" outlineLevel="0" collapsed="false">
      <c r="A2" s="6" t="s">
        <v>22</v>
      </c>
      <c r="B2" s="6"/>
      <c r="C2" s="6"/>
      <c r="D2" s="6"/>
    </row>
    <row r="4" customFormat="false" ht="15" hidden="false" customHeight="false" outlineLevel="0" collapsed="false">
      <c r="A4" s="7" t="s">
        <v>23</v>
      </c>
      <c r="B4" s="7" t="s">
        <v>24</v>
      </c>
      <c r="C4" s="7" t="s">
        <v>25</v>
      </c>
      <c r="D4" s="7" t="s">
        <v>26</v>
      </c>
    </row>
    <row r="5" customFormat="false" ht="60" hidden="false" customHeight="true" outlineLevel="0" collapsed="false">
      <c r="A5" s="8" t="s">
        <v>27</v>
      </c>
      <c r="B5" s="8" t="s">
        <v>28</v>
      </c>
      <c r="C5" s="8" t="s">
        <v>29</v>
      </c>
      <c r="D5" s="8" t="s">
        <v>30</v>
      </c>
    </row>
    <row r="6" customFormat="false" ht="60" hidden="false" customHeight="true" outlineLevel="0" collapsed="false">
      <c r="A6" s="8" t="s">
        <v>31</v>
      </c>
      <c r="B6" s="8" t="s">
        <v>32</v>
      </c>
      <c r="C6" s="8" t="s">
        <v>33</v>
      </c>
      <c r="D6" s="8" t="s">
        <v>34</v>
      </c>
    </row>
    <row r="7" customFormat="false" ht="60" hidden="false" customHeight="true" outlineLevel="0" collapsed="false">
      <c r="A7" s="8" t="s">
        <v>35</v>
      </c>
      <c r="B7" s="8" t="s">
        <v>36</v>
      </c>
      <c r="C7" s="8" t="s">
        <v>37</v>
      </c>
      <c r="D7" s="8" t="s">
        <v>38</v>
      </c>
    </row>
    <row r="8" customFormat="false" ht="60" hidden="false" customHeight="true" outlineLevel="0" collapsed="false">
      <c r="A8" s="8" t="s">
        <v>39</v>
      </c>
      <c r="B8" s="8" t="s">
        <v>40</v>
      </c>
      <c r="C8" s="8" t="s">
        <v>41</v>
      </c>
      <c r="D8" s="8" t="s">
        <v>42</v>
      </c>
    </row>
    <row r="9" customFormat="false" ht="60" hidden="false" customHeight="true" outlineLevel="0" collapsed="false">
      <c r="A9" s="8" t="s">
        <v>43</v>
      </c>
      <c r="B9" s="8" t="s">
        <v>44</v>
      </c>
      <c r="C9" s="8" t="s">
        <v>45</v>
      </c>
      <c r="D9" s="8" t="s">
        <v>46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9"/>
    <col collapsed="false" customWidth="true" hidden="false" outlineLevel="0" max="6" min="4" style="0" width="8"/>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1" min="10" style="0" width="12"/>
  </cols>
  <sheetData>
    <row r="1" customFormat="false" ht="19.7" hidden="false" customHeight="false" outlineLevel="0" collapsed="false">
      <c r="A1" s="5" t="s">
        <v>47</v>
      </c>
      <c r="B1" s="5"/>
      <c r="C1" s="5"/>
      <c r="D1" s="5"/>
      <c r="E1" s="5"/>
      <c r="F1" s="5"/>
      <c r="G1" s="5"/>
      <c r="H1" s="5"/>
      <c r="I1" s="5"/>
      <c r="J1" s="5"/>
      <c r="K1" s="5"/>
    </row>
    <row r="2" customFormat="false" ht="60" hidden="false" customHeight="true" outlineLevel="0" collapsed="false">
      <c r="A2" s="6" t="s">
        <v>48</v>
      </c>
      <c r="B2" s="6"/>
      <c r="C2" s="6"/>
      <c r="D2" s="6"/>
      <c r="E2" s="6"/>
      <c r="F2" s="6"/>
      <c r="G2" s="6"/>
      <c r="H2" s="6"/>
      <c r="I2" s="6"/>
      <c r="J2" s="6"/>
      <c r="K2" s="6"/>
    </row>
    <row r="4" customFormat="false" ht="15" hidden="false" customHeight="false" outlineLevel="0" collapsed="false">
      <c r="A4" s="9" t="s">
        <v>49</v>
      </c>
      <c r="B4" s="10"/>
    </row>
    <row r="5" customFormat="false" ht="15" hidden="false" customHeight="false" outlineLevel="0" collapsed="false">
      <c r="A5" s="9" t="s">
        <v>50</v>
      </c>
      <c r="B5" s="11"/>
      <c r="C5" s="11"/>
      <c r="D5" s="11"/>
      <c r="E5" s="11"/>
    </row>
    <row r="6" customFormat="false" ht="15" hidden="false" customHeight="false" outlineLevel="0" collapsed="false">
      <c r="A6" s="12" t="s">
        <v>51</v>
      </c>
      <c r="B6" s="12" t="s">
        <v>52</v>
      </c>
      <c r="C6" s="12" t="s">
        <v>53</v>
      </c>
      <c r="D6" s="12" t="s">
        <v>54</v>
      </c>
      <c r="E6" s="12" t="s">
        <v>55</v>
      </c>
      <c r="F6" s="12" t="s">
        <v>56</v>
      </c>
      <c r="G6" s="12" t="s">
        <v>57</v>
      </c>
      <c r="H6" s="12" t="s">
        <v>58</v>
      </c>
      <c r="I6" s="12" t="s">
        <v>59</v>
      </c>
      <c r="J6" s="12" t="s">
        <v>60</v>
      </c>
      <c r="K6" s="12" t="s">
        <v>61</v>
      </c>
      <c r="N6" s="13" t="s">
        <v>62</v>
      </c>
      <c r="O6" s="13"/>
      <c r="P6" s="13"/>
      <c r="Q6" s="13"/>
      <c r="R6" s="13"/>
      <c r="S6" s="13"/>
      <c r="T6" s="13"/>
      <c r="U6" s="13"/>
      <c r="V6" s="13"/>
      <c r="W6" s="13"/>
      <c r="X6" s="13"/>
      <c r="Y6" s="13"/>
      <c r="Z6" s="13"/>
      <c r="AA6" s="13"/>
      <c r="AB6" s="13"/>
    </row>
    <row r="7" customFormat="false" ht="15" hidden="false" customHeight="false" outlineLevel="0" collapsed="false">
      <c r="A7" s="14"/>
      <c r="B7" s="14"/>
      <c r="C7" s="14"/>
      <c r="D7" s="14"/>
      <c r="E7" s="14"/>
      <c r="F7" s="14"/>
      <c r="G7" s="14"/>
      <c r="H7" s="14"/>
      <c r="I7" s="14"/>
      <c r="J7" s="14"/>
      <c r="K7" s="14"/>
      <c r="N7" s="15" t="str">
        <f aca="false">IF($A7="","",$B$4)</f>
        <v/>
      </c>
      <c r="O7" s="15" t="str">
        <f aca="false">IF($A7="","",TRIM($B7))</f>
        <v/>
      </c>
      <c r="P7" s="15" t="str">
        <f aca="false">IF($A7="","",IFERROR(VALUE($A7),$A7))</f>
        <v/>
      </c>
      <c r="Q7" s="15" t="str">
        <f aca="false">IF($A7="","",IFERROR(VALUE($C7),$C7))</f>
        <v/>
      </c>
      <c r="R7" s="15" t="str">
        <f aca="false">IF($A7="","",IFERROR(VALUE($D7),$D7))</f>
        <v/>
      </c>
      <c r="S7" s="15" t="str">
        <f aca="false">IF($A7="","",IFERROR(VALUE($E7),$E7))</f>
        <v/>
      </c>
      <c r="T7" s="15" t="str">
        <f aca="false">IF($A7="","",IFERROR(VALUE($F7),$F7))</f>
        <v/>
      </c>
      <c r="U7" s="15" t="str">
        <f aca="false">IF($A7="","",IFERROR(VALUE($G7),$G7))</f>
        <v/>
      </c>
      <c r="V7" s="15" t="str">
        <f aca="false">IF($A7="","",IFERROR(VALUE($H7),$H7))</f>
        <v/>
      </c>
      <c r="W7" s="15" t="str">
        <f aca="false">IF($A7="","",IFERROR(VALUE($I7),$I7))</f>
        <v/>
      </c>
      <c r="X7" s="15" t="str">
        <f aca="false">IF($A7="","",IFERROR(VALUE($J7),$J7))</f>
        <v/>
      </c>
      <c r="Y7" s="15" t="str">
        <f aca="false">IF($A7="","",IFERROR(VALUE($K7),$K7))</f>
        <v/>
      </c>
      <c r="Z7" s="15" t="str">
        <f aca="false">IF($A7="","",$B$5)</f>
        <v/>
      </c>
      <c r="AA7" s="15" t="str">
        <f aca="true">IF($A7="","",TODAY())</f>
        <v/>
      </c>
      <c r="AB7" s="16" t="str">
        <f aca="false">IF($A7="","",N7&amp;"|"&amp;P7)</f>
        <v/>
      </c>
    </row>
    <row r="8" customFormat="false" ht="15" hidden="false" customHeight="false" outlineLevel="0" collapsed="false">
      <c r="A8" s="14"/>
      <c r="B8" s="14"/>
      <c r="C8" s="14"/>
      <c r="D8" s="14"/>
      <c r="E8" s="14"/>
      <c r="F8" s="14"/>
      <c r="G8" s="14"/>
      <c r="H8" s="14"/>
      <c r="I8" s="14"/>
      <c r="J8" s="14"/>
      <c r="K8" s="14"/>
      <c r="N8" s="14" t="str">
        <f aca="false">IF($A8="","",$B$4)</f>
        <v/>
      </c>
      <c r="O8" s="14" t="str">
        <f aca="false">IF($A8="","",TRIM($B8))</f>
        <v/>
      </c>
      <c r="P8" s="14" t="str">
        <f aca="false">IF($A8="","",IFERROR(VALUE($A8),$A8))</f>
        <v/>
      </c>
      <c r="Q8" s="14" t="str">
        <f aca="false">IF($A8="","",IFERROR(VALUE($C8),$C8))</f>
        <v/>
      </c>
      <c r="R8" s="14" t="str">
        <f aca="false">IF($A8="","",IFERROR(VALUE($D8),$D8))</f>
        <v/>
      </c>
      <c r="S8" s="14" t="str">
        <f aca="false">IF($A8="","",IFERROR(VALUE($E8),$E8))</f>
        <v/>
      </c>
      <c r="T8" s="14" t="str">
        <f aca="false">IF($A8="","",IFERROR(VALUE($F8),$F8))</f>
        <v/>
      </c>
      <c r="U8" s="14" t="str">
        <f aca="false">IF($A8="","",IFERROR(VALUE($G8),$G8))</f>
        <v/>
      </c>
      <c r="V8" s="14" t="str">
        <f aca="false">IF($A8="","",IFERROR(VALUE($H8),$H8))</f>
        <v/>
      </c>
      <c r="W8" s="14" t="str">
        <f aca="false">IF($A8="","",IFERROR(VALUE($I8),$I8))</f>
        <v/>
      </c>
      <c r="X8" s="14" t="str">
        <f aca="false">IF($A8="","",IFERROR(VALUE($J8),$J8))</f>
        <v/>
      </c>
      <c r="Y8" s="14" t="str">
        <f aca="false">IF($A8="","",IFERROR(VALUE($K8),$K8))</f>
        <v/>
      </c>
      <c r="Z8" s="14" t="str">
        <f aca="false">IF($A8="","",$B$5)</f>
        <v/>
      </c>
      <c r="AA8" s="14" t="str">
        <f aca="true">IF($A8="","",TODAY())</f>
        <v/>
      </c>
      <c r="AB8" s="16" t="str">
        <f aca="false">IF($A8="","",N8&amp;"|"&amp;P8)</f>
        <v/>
      </c>
    </row>
    <row r="9" customFormat="false" ht="15" hidden="false" customHeight="false" outlineLevel="0" collapsed="false">
      <c r="A9" s="14"/>
      <c r="B9" s="14"/>
      <c r="C9" s="14"/>
      <c r="D9" s="14"/>
      <c r="E9" s="14"/>
      <c r="F9" s="14"/>
      <c r="G9" s="14"/>
      <c r="H9" s="14"/>
      <c r="I9" s="14"/>
      <c r="J9" s="14"/>
      <c r="K9" s="14"/>
      <c r="N9" s="14" t="str">
        <f aca="false">IF($A9="","",$B$4)</f>
        <v/>
      </c>
      <c r="O9" s="14" t="str">
        <f aca="false">IF($A9="","",TRIM($B9))</f>
        <v/>
      </c>
      <c r="P9" s="14" t="str">
        <f aca="false">IF($A9="","",IFERROR(VALUE($A9),$A9))</f>
        <v/>
      </c>
      <c r="Q9" s="14" t="str">
        <f aca="false">IF($A9="","",IFERROR(VALUE($C9),$C9))</f>
        <v/>
      </c>
      <c r="R9" s="14" t="str">
        <f aca="false">IF($A9="","",IFERROR(VALUE($D9),$D9))</f>
        <v/>
      </c>
      <c r="S9" s="14" t="str">
        <f aca="false">IF($A9="","",IFERROR(VALUE($E9),$E9))</f>
        <v/>
      </c>
      <c r="T9" s="14" t="str">
        <f aca="false">IF($A9="","",IFERROR(VALUE($F9),$F9))</f>
        <v/>
      </c>
      <c r="U9" s="14" t="str">
        <f aca="false">IF($A9="","",IFERROR(VALUE($G9),$G9))</f>
        <v/>
      </c>
      <c r="V9" s="14" t="str">
        <f aca="false">IF($A9="","",IFERROR(VALUE($H9),$H9))</f>
        <v/>
      </c>
      <c r="W9" s="14" t="str">
        <f aca="false">IF($A9="","",IFERROR(VALUE($I9),$I9))</f>
        <v/>
      </c>
      <c r="X9" s="14" t="str">
        <f aca="false">IF($A9="","",IFERROR(VALUE($J9),$J9))</f>
        <v/>
      </c>
      <c r="Y9" s="14" t="str">
        <f aca="false">IF($A9="","",IFERROR(VALUE($K9),$K9))</f>
        <v/>
      </c>
      <c r="Z9" s="14" t="str">
        <f aca="false">IF($A9="","",$B$5)</f>
        <v/>
      </c>
      <c r="AA9" s="14" t="str">
        <f aca="true">IF($A9="","",TODAY())</f>
        <v/>
      </c>
      <c r="AB9" s="16" t="str">
        <f aca="false">IF($A9="","",N9&amp;"|"&amp;P9)</f>
        <v/>
      </c>
    </row>
    <row r="10" customFormat="false" ht="15" hidden="false" customHeight="false" outlineLevel="0" collapsed="false">
      <c r="A10" s="14"/>
      <c r="B10" s="14"/>
      <c r="C10" s="14"/>
      <c r="D10" s="14"/>
      <c r="E10" s="14"/>
      <c r="F10" s="14"/>
      <c r="G10" s="14"/>
      <c r="H10" s="14"/>
      <c r="I10" s="14"/>
      <c r="J10" s="14"/>
      <c r="K10" s="14"/>
      <c r="N10" s="14" t="str">
        <f aca="false">IF($A10="","",$B$4)</f>
        <v/>
      </c>
      <c r="O10" s="14" t="str">
        <f aca="false">IF($A10="","",TRIM($B10))</f>
        <v/>
      </c>
      <c r="P10" s="14" t="str">
        <f aca="false">IF($A10="","",IFERROR(VALUE($A10),$A10))</f>
        <v/>
      </c>
      <c r="Q10" s="14" t="str">
        <f aca="false">IF($A10="","",IFERROR(VALUE($C10),$C10))</f>
        <v/>
      </c>
      <c r="R10" s="14" t="str">
        <f aca="false">IF($A10="","",IFERROR(VALUE($D10),$D10))</f>
        <v/>
      </c>
      <c r="S10" s="14" t="str">
        <f aca="false">IF($A10="","",IFERROR(VALUE($E10),$E10))</f>
        <v/>
      </c>
      <c r="T10" s="14" t="str">
        <f aca="false">IF($A10="","",IFERROR(VALUE($F10),$F10))</f>
        <v/>
      </c>
      <c r="U10" s="14" t="str">
        <f aca="false">IF($A10="","",IFERROR(VALUE($G10),$G10))</f>
        <v/>
      </c>
      <c r="V10" s="14" t="str">
        <f aca="false">IF($A10="","",IFERROR(VALUE($H10),$H10))</f>
        <v/>
      </c>
      <c r="W10" s="14" t="str">
        <f aca="false">IF($A10="","",IFERROR(VALUE($I10),$I10))</f>
        <v/>
      </c>
      <c r="X10" s="14" t="str">
        <f aca="false">IF($A10="","",IFERROR(VALUE($J10),$J10))</f>
        <v/>
      </c>
      <c r="Y10" s="14" t="str">
        <f aca="false">IF($A10="","",IFERROR(VALUE($K10),$K10))</f>
        <v/>
      </c>
      <c r="Z10" s="14" t="str">
        <f aca="false">IF($A10="","",$B$5)</f>
        <v/>
      </c>
      <c r="AA10" s="14" t="str">
        <f aca="true">IF($A10="","",TODAY())</f>
        <v/>
      </c>
      <c r="AB10" s="16" t="str">
        <f aca="false">IF($A10="","",N10&amp;"|"&amp;P10)</f>
        <v/>
      </c>
    </row>
    <row r="11" customFormat="false" ht="15" hidden="false" customHeight="false" outlineLevel="0" collapsed="false">
      <c r="A11" s="14"/>
      <c r="B11" s="14"/>
      <c r="C11" s="14"/>
      <c r="D11" s="14"/>
      <c r="E11" s="14"/>
      <c r="F11" s="14"/>
      <c r="G11" s="14"/>
      <c r="H11" s="14"/>
      <c r="I11" s="14"/>
      <c r="J11" s="14"/>
      <c r="K11" s="14"/>
      <c r="N11" s="14" t="str">
        <f aca="false">IF($A11="","",$B$4)</f>
        <v/>
      </c>
      <c r="O11" s="14" t="str">
        <f aca="false">IF($A11="","",TRIM($B11))</f>
        <v/>
      </c>
      <c r="P11" s="14" t="str">
        <f aca="false">IF($A11="","",IFERROR(VALUE($A11),$A11))</f>
        <v/>
      </c>
      <c r="Q11" s="14" t="str">
        <f aca="false">IF($A11="","",IFERROR(VALUE($C11),$C11))</f>
        <v/>
      </c>
      <c r="R11" s="14" t="str">
        <f aca="false">IF($A11="","",IFERROR(VALUE($D11),$D11))</f>
        <v/>
      </c>
      <c r="S11" s="14" t="str">
        <f aca="false">IF($A11="","",IFERROR(VALUE($E11),$E11))</f>
        <v/>
      </c>
      <c r="T11" s="14" t="str">
        <f aca="false">IF($A11="","",IFERROR(VALUE($F11),$F11))</f>
        <v/>
      </c>
      <c r="U11" s="14" t="str">
        <f aca="false">IF($A11="","",IFERROR(VALUE($G11),$G11))</f>
        <v/>
      </c>
      <c r="V11" s="14" t="str">
        <f aca="false">IF($A11="","",IFERROR(VALUE($H11),$H11))</f>
        <v/>
      </c>
      <c r="W11" s="14" t="str">
        <f aca="false">IF($A11="","",IFERROR(VALUE($I11),$I11))</f>
        <v/>
      </c>
      <c r="X11" s="14" t="str">
        <f aca="false">IF($A11="","",IFERROR(VALUE($J11),$J11))</f>
        <v/>
      </c>
      <c r="Y11" s="14" t="str">
        <f aca="false">IF($A11="","",IFERROR(VALUE($K11),$K11))</f>
        <v/>
      </c>
      <c r="Z11" s="14" t="str">
        <f aca="false">IF($A11="","",$B$5)</f>
        <v/>
      </c>
      <c r="AA11" s="14" t="str">
        <f aca="true">IF($A11="","",TODAY())</f>
        <v/>
      </c>
      <c r="AB11" s="16" t="str">
        <f aca="false">IF($A11="","",N11&amp;"|"&amp;P11)</f>
        <v/>
      </c>
    </row>
    <row r="12" customFormat="false" ht="15" hidden="false" customHeight="false" outlineLevel="0" collapsed="false">
      <c r="A12" s="14"/>
      <c r="B12" s="14"/>
      <c r="C12" s="14"/>
      <c r="D12" s="14"/>
      <c r="E12" s="14"/>
      <c r="F12" s="14"/>
      <c r="G12" s="14"/>
      <c r="H12" s="14"/>
      <c r="I12" s="14"/>
      <c r="J12" s="14"/>
      <c r="K12" s="14"/>
      <c r="N12" s="14" t="str">
        <f aca="false">IF($A12="","",$B$4)</f>
        <v/>
      </c>
      <c r="O12" s="14" t="str">
        <f aca="false">IF($A12="","",TRIM($B12))</f>
        <v/>
      </c>
      <c r="P12" s="14" t="str">
        <f aca="false">IF($A12="","",IFERROR(VALUE($A12),$A12))</f>
        <v/>
      </c>
      <c r="Q12" s="14" t="str">
        <f aca="false">IF($A12="","",IFERROR(VALUE($C12),$C12))</f>
        <v/>
      </c>
      <c r="R12" s="14" t="str">
        <f aca="false">IF($A12="","",IFERROR(VALUE($D12),$D12))</f>
        <v/>
      </c>
      <c r="S12" s="14" t="str">
        <f aca="false">IF($A12="","",IFERROR(VALUE($E12),$E12))</f>
        <v/>
      </c>
      <c r="T12" s="14" t="str">
        <f aca="false">IF($A12="","",IFERROR(VALUE($F12),$F12))</f>
        <v/>
      </c>
      <c r="U12" s="14" t="str">
        <f aca="false">IF($A12="","",IFERROR(VALUE($G12),$G12))</f>
        <v/>
      </c>
      <c r="V12" s="14" t="str">
        <f aca="false">IF($A12="","",IFERROR(VALUE($H12),$H12))</f>
        <v/>
      </c>
      <c r="W12" s="14" t="str">
        <f aca="false">IF($A12="","",IFERROR(VALUE($I12),$I12))</f>
        <v/>
      </c>
      <c r="X12" s="14" t="str">
        <f aca="false">IF($A12="","",IFERROR(VALUE($J12),$J12))</f>
        <v/>
      </c>
      <c r="Y12" s="14" t="str">
        <f aca="false">IF($A12="","",IFERROR(VALUE($K12),$K12))</f>
        <v/>
      </c>
      <c r="Z12" s="14" t="str">
        <f aca="false">IF($A12="","",$B$5)</f>
        <v/>
      </c>
      <c r="AA12" s="14" t="str">
        <f aca="true">IF($A12="","",TODAY())</f>
        <v/>
      </c>
      <c r="AB12" s="16" t="str">
        <f aca="false">IF($A12="","",N12&amp;"|"&amp;P12)</f>
        <v/>
      </c>
    </row>
    <row r="13" customFormat="false" ht="15" hidden="false" customHeight="false" outlineLevel="0" collapsed="false">
      <c r="A13" s="14"/>
      <c r="B13" s="14"/>
      <c r="C13" s="14"/>
      <c r="D13" s="14"/>
      <c r="E13" s="14"/>
      <c r="F13" s="14"/>
      <c r="G13" s="14"/>
      <c r="H13" s="14"/>
      <c r="I13" s="14"/>
      <c r="J13" s="14"/>
      <c r="K13" s="14"/>
      <c r="N13" s="14" t="str">
        <f aca="false">IF($A13="","",$B$4)</f>
        <v/>
      </c>
      <c r="O13" s="14" t="str">
        <f aca="false">IF($A13="","",TRIM($B13))</f>
        <v/>
      </c>
      <c r="P13" s="14" t="str">
        <f aca="false">IF($A13="","",IFERROR(VALUE($A13),$A13))</f>
        <v/>
      </c>
      <c r="Q13" s="14" t="str">
        <f aca="false">IF($A13="","",IFERROR(VALUE($C13),$C13))</f>
        <v/>
      </c>
      <c r="R13" s="14" t="str">
        <f aca="false">IF($A13="","",IFERROR(VALUE($D13),$D13))</f>
        <v/>
      </c>
      <c r="S13" s="14" t="str">
        <f aca="false">IF($A13="","",IFERROR(VALUE($E13),$E13))</f>
        <v/>
      </c>
      <c r="T13" s="14" t="str">
        <f aca="false">IF($A13="","",IFERROR(VALUE($F13),$F13))</f>
        <v/>
      </c>
      <c r="U13" s="14" t="str">
        <f aca="false">IF($A13="","",IFERROR(VALUE($G13),$G13))</f>
        <v/>
      </c>
      <c r="V13" s="14" t="str">
        <f aca="false">IF($A13="","",IFERROR(VALUE($H13),$H13))</f>
        <v/>
      </c>
      <c r="W13" s="14" t="str">
        <f aca="false">IF($A13="","",IFERROR(VALUE($I13),$I13))</f>
        <v/>
      </c>
      <c r="X13" s="14" t="str">
        <f aca="false">IF($A13="","",IFERROR(VALUE($J13),$J13))</f>
        <v/>
      </c>
      <c r="Y13" s="14" t="str">
        <f aca="false">IF($A13="","",IFERROR(VALUE($K13),$K13))</f>
        <v/>
      </c>
      <c r="Z13" s="14" t="str">
        <f aca="false">IF($A13="","",$B$5)</f>
        <v/>
      </c>
      <c r="AA13" s="14" t="str">
        <f aca="true">IF($A13="","",TODAY())</f>
        <v/>
      </c>
      <c r="AB13" s="16" t="str">
        <f aca="false">IF($A13="","",N13&amp;"|"&amp;P13)</f>
        <v/>
      </c>
    </row>
    <row r="14" customFormat="false" ht="15" hidden="false" customHeight="false" outlineLevel="0" collapsed="false">
      <c r="A14" s="14"/>
      <c r="B14" s="14"/>
      <c r="C14" s="14"/>
      <c r="D14" s="14"/>
      <c r="E14" s="14"/>
      <c r="F14" s="14"/>
      <c r="G14" s="14"/>
      <c r="H14" s="14"/>
      <c r="I14" s="14"/>
      <c r="J14" s="14"/>
      <c r="K14" s="14"/>
      <c r="N14" s="14" t="str">
        <f aca="false">IF($A14="","",$B$4)</f>
        <v/>
      </c>
      <c r="O14" s="14" t="str">
        <f aca="false">IF($A14="","",TRIM($B14))</f>
        <v/>
      </c>
      <c r="P14" s="14" t="str">
        <f aca="false">IF($A14="","",IFERROR(VALUE($A14),$A14))</f>
        <v/>
      </c>
      <c r="Q14" s="14" t="str">
        <f aca="false">IF($A14="","",IFERROR(VALUE($C14),$C14))</f>
        <v/>
      </c>
      <c r="R14" s="14" t="str">
        <f aca="false">IF($A14="","",IFERROR(VALUE($D14),$D14))</f>
        <v/>
      </c>
      <c r="S14" s="14" t="str">
        <f aca="false">IF($A14="","",IFERROR(VALUE($E14),$E14))</f>
        <v/>
      </c>
      <c r="T14" s="14" t="str">
        <f aca="false">IF($A14="","",IFERROR(VALUE($F14),$F14))</f>
        <v/>
      </c>
      <c r="U14" s="14" t="str">
        <f aca="false">IF($A14="","",IFERROR(VALUE($G14),$G14))</f>
        <v/>
      </c>
      <c r="V14" s="14" t="str">
        <f aca="false">IF($A14="","",IFERROR(VALUE($H14),$H14))</f>
        <v/>
      </c>
      <c r="W14" s="14" t="str">
        <f aca="false">IF($A14="","",IFERROR(VALUE($I14),$I14))</f>
        <v/>
      </c>
      <c r="X14" s="14" t="str">
        <f aca="false">IF($A14="","",IFERROR(VALUE($J14),$J14))</f>
        <v/>
      </c>
      <c r="Y14" s="14" t="str">
        <f aca="false">IF($A14="","",IFERROR(VALUE($K14),$K14))</f>
        <v/>
      </c>
      <c r="Z14" s="14" t="str">
        <f aca="false">IF($A14="","",$B$5)</f>
        <v/>
      </c>
      <c r="AA14" s="14" t="str">
        <f aca="true">IF($A14="","",TODAY())</f>
        <v/>
      </c>
      <c r="AB14" s="16" t="str">
        <f aca="false">IF($A14="","",N14&amp;"|"&amp;P14)</f>
        <v/>
      </c>
    </row>
    <row r="15" customFormat="false" ht="15" hidden="false" customHeight="false" outlineLevel="0" collapsed="false">
      <c r="A15" s="14"/>
      <c r="B15" s="14"/>
      <c r="C15" s="14"/>
      <c r="D15" s="14"/>
      <c r="E15" s="14"/>
      <c r="F15" s="14"/>
      <c r="G15" s="14"/>
      <c r="H15" s="14"/>
      <c r="I15" s="14"/>
      <c r="J15" s="14"/>
      <c r="K15" s="14"/>
      <c r="N15" s="14" t="str">
        <f aca="false">IF($A15="","",$B$4)</f>
        <v/>
      </c>
      <c r="O15" s="14" t="str">
        <f aca="false">IF($A15="","",TRIM($B15))</f>
        <v/>
      </c>
      <c r="P15" s="14" t="str">
        <f aca="false">IF($A15="","",IFERROR(VALUE($A15),$A15))</f>
        <v/>
      </c>
      <c r="Q15" s="14" t="str">
        <f aca="false">IF($A15="","",IFERROR(VALUE($C15),$C15))</f>
        <v/>
      </c>
      <c r="R15" s="14" t="str">
        <f aca="false">IF($A15="","",IFERROR(VALUE($D15),$D15))</f>
        <v/>
      </c>
      <c r="S15" s="14" t="str">
        <f aca="false">IF($A15="","",IFERROR(VALUE($E15),$E15))</f>
        <v/>
      </c>
      <c r="T15" s="14" t="str">
        <f aca="false">IF($A15="","",IFERROR(VALUE($F15),$F15))</f>
        <v/>
      </c>
      <c r="U15" s="14" t="str">
        <f aca="false">IF($A15="","",IFERROR(VALUE($G15),$G15))</f>
        <v/>
      </c>
      <c r="V15" s="14" t="str">
        <f aca="false">IF($A15="","",IFERROR(VALUE($H15),$H15))</f>
        <v/>
      </c>
      <c r="W15" s="14" t="str">
        <f aca="false">IF($A15="","",IFERROR(VALUE($I15),$I15))</f>
        <v/>
      </c>
      <c r="X15" s="14" t="str">
        <f aca="false">IF($A15="","",IFERROR(VALUE($J15),$J15))</f>
        <v/>
      </c>
      <c r="Y15" s="14" t="str">
        <f aca="false">IF($A15="","",IFERROR(VALUE($K15),$K15))</f>
        <v/>
      </c>
      <c r="Z15" s="14" t="str">
        <f aca="false">IF($A15="","",$B$5)</f>
        <v/>
      </c>
      <c r="AA15" s="14" t="str">
        <f aca="true">IF($A15="","",TODAY())</f>
        <v/>
      </c>
      <c r="AB15" s="16" t="str">
        <f aca="false">IF($A15="","",N15&amp;"|"&amp;P15)</f>
        <v/>
      </c>
    </row>
    <row r="16" customFormat="false" ht="15" hidden="false" customHeight="false" outlineLevel="0" collapsed="false">
      <c r="A16" s="14"/>
      <c r="B16" s="14"/>
      <c r="C16" s="14"/>
      <c r="D16" s="14"/>
      <c r="E16" s="14"/>
      <c r="F16" s="14"/>
      <c r="G16" s="14"/>
      <c r="H16" s="14"/>
      <c r="I16" s="14"/>
      <c r="J16" s="14"/>
      <c r="K16" s="14"/>
      <c r="N16" s="14" t="str">
        <f aca="false">IF($A16="","",$B$4)</f>
        <v/>
      </c>
      <c r="O16" s="14" t="str">
        <f aca="false">IF($A16="","",TRIM($B16))</f>
        <v/>
      </c>
      <c r="P16" s="14" t="str">
        <f aca="false">IF($A16="","",IFERROR(VALUE($A16),$A16))</f>
        <v/>
      </c>
      <c r="Q16" s="14" t="str">
        <f aca="false">IF($A16="","",IFERROR(VALUE($C16),$C16))</f>
        <v/>
      </c>
      <c r="R16" s="14" t="str">
        <f aca="false">IF($A16="","",IFERROR(VALUE($D16),$D16))</f>
        <v/>
      </c>
      <c r="S16" s="14" t="str">
        <f aca="false">IF($A16="","",IFERROR(VALUE($E16),$E16))</f>
        <v/>
      </c>
      <c r="T16" s="14" t="str">
        <f aca="false">IF($A16="","",IFERROR(VALUE($F16),$F16))</f>
        <v/>
      </c>
      <c r="U16" s="14" t="str">
        <f aca="false">IF($A16="","",IFERROR(VALUE($G16),$G16))</f>
        <v/>
      </c>
      <c r="V16" s="14" t="str">
        <f aca="false">IF($A16="","",IFERROR(VALUE($H16),$H16))</f>
        <v/>
      </c>
      <c r="W16" s="14" t="str">
        <f aca="false">IF($A16="","",IFERROR(VALUE($I16),$I16))</f>
        <v/>
      </c>
      <c r="X16" s="14" t="str">
        <f aca="false">IF($A16="","",IFERROR(VALUE($J16),$J16))</f>
        <v/>
      </c>
      <c r="Y16" s="14" t="str">
        <f aca="false">IF($A16="","",IFERROR(VALUE($K16),$K16))</f>
        <v/>
      </c>
      <c r="Z16" s="14" t="str">
        <f aca="false">IF($A16="","",$B$5)</f>
        <v/>
      </c>
      <c r="AA16" s="14" t="str">
        <f aca="true">IF($A16="","",TODAY())</f>
        <v/>
      </c>
      <c r="AB16" s="16" t="str">
        <f aca="false">IF($A16="","",N16&amp;"|"&amp;P16)</f>
        <v/>
      </c>
    </row>
    <row r="17" customFormat="false" ht="15" hidden="false" customHeight="false" outlineLevel="0" collapsed="false">
      <c r="A17" s="14"/>
      <c r="B17" s="14"/>
      <c r="C17" s="14"/>
      <c r="D17" s="14"/>
      <c r="E17" s="14"/>
      <c r="F17" s="14"/>
      <c r="G17" s="14"/>
      <c r="H17" s="14"/>
      <c r="I17" s="14"/>
      <c r="J17" s="14"/>
      <c r="K17" s="14"/>
      <c r="N17" s="14" t="str">
        <f aca="false">IF($A17="","",$B$4)</f>
        <v/>
      </c>
      <c r="O17" s="14" t="str">
        <f aca="false">IF($A17="","",TRIM($B17))</f>
        <v/>
      </c>
      <c r="P17" s="14" t="str">
        <f aca="false">IF($A17="","",IFERROR(VALUE($A17),$A17))</f>
        <v/>
      </c>
      <c r="Q17" s="14" t="str">
        <f aca="false">IF($A17="","",IFERROR(VALUE($C17),$C17))</f>
        <v/>
      </c>
      <c r="R17" s="14" t="str">
        <f aca="false">IF($A17="","",IFERROR(VALUE($D17),$D17))</f>
        <v/>
      </c>
      <c r="S17" s="14" t="str">
        <f aca="false">IF($A17="","",IFERROR(VALUE($E17),$E17))</f>
        <v/>
      </c>
      <c r="T17" s="14" t="str">
        <f aca="false">IF($A17="","",IFERROR(VALUE($F17),$F17))</f>
        <v/>
      </c>
      <c r="U17" s="14" t="str">
        <f aca="false">IF($A17="","",IFERROR(VALUE($G17),$G17))</f>
        <v/>
      </c>
      <c r="V17" s="14" t="str">
        <f aca="false">IF($A17="","",IFERROR(VALUE($H17),$H17))</f>
        <v/>
      </c>
      <c r="W17" s="14" t="str">
        <f aca="false">IF($A17="","",IFERROR(VALUE($I17),$I17))</f>
        <v/>
      </c>
      <c r="X17" s="14" t="str">
        <f aca="false">IF($A17="","",IFERROR(VALUE($J17),$J17))</f>
        <v/>
      </c>
      <c r="Y17" s="14" t="str">
        <f aca="false">IF($A17="","",IFERROR(VALUE($K17),$K17))</f>
        <v/>
      </c>
      <c r="Z17" s="14" t="str">
        <f aca="false">IF($A17="","",$B$5)</f>
        <v/>
      </c>
      <c r="AA17" s="14" t="str">
        <f aca="true">IF($A17="","",TODAY())</f>
        <v/>
      </c>
      <c r="AB17" s="16" t="str">
        <f aca="false">IF($A17="","",N17&amp;"|"&amp;P17)</f>
        <v/>
      </c>
    </row>
    <row r="18" customFormat="false" ht="15" hidden="false" customHeight="false" outlineLevel="0" collapsed="false">
      <c r="A18" s="14"/>
      <c r="B18" s="14"/>
      <c r="C18" s="14"/>
      <c r="D18" s="14"/>
      <c r="E18" s="14"/>
      <c r="F18" s="14"/>
      <c r="G18" s="14"/>
      <c r="H18" s="14"/>
      <c r="I18" s="14"/>
      <c r="J18" s="14"/>
      <c r="K18" s="14"/>
      <c r="N18" s="14" t="str">
        <f aca="false">IF($A18="","",$B$4)</f>
        <v/>
      </c>
      <c r="O18" s="14" t="str">
        <f aca="false">IF($A18="","",TRIM($B18))</f>
        <v/>
      </c>
      <c r="P18" s="14" t="str">
        <f aca="false">IF($A18="","",IFERROR(VALUE($A18),$A18))</f>
        <v/>
      </c>
      <c r="Q18" s="14" t="str">
        <f aca="false">IF($A18="","",IFERROR(VALUE($C18),$C18))</f>
        <v/>
      </c>
      <c r="R18" s="14" t="str">
        <f aca="false">IF($A18="","",IFERROR(VALUE($D18),$D18))</f>
        <v/>
      </c>
      <c r="S18" s="14" t="str">
        <f aca="false">IF($A18="","",IFERROR(VALUE($E18),$E18))</f>
        <v/>
      </c>
      <c r="T18" s="14" t="str">
        <f aca="false">IF($A18="","",IFERROR(VALUE($F18),$F18))</f>
        <v/>
      </c>
      <c r="U18" s="14" t="str">
        <f aca="false">IF($A18="","",IFERROR(VALUE($G18),$G18))</f>
        <v/>
      </c>
      <c r="V18" s="14" t="str">
        <f aca="false">IF($A18="","",IFERROR(VALUE($H18),$H18))</f>
        <v/>
      </c>
      <c r="W18" s="14" t="str">
        <f aca="false">IF($A18="","",IFERROR(VALUE($I18),$I18))</f>
        <v/>
      </c>
      <c r="X18" s="14" t="str">
        <f aca="false">IF($A18="","",IFERROR(VALUE($J18),$J18))</f>
        <v/>
      </c>
      <c r="Y18" s="14" t="str">
        <f aca="false">IF($A18="","",IFERROR(VALUE($K18),$K18))</f>
        <v/>
      </c>
      <c r="Z18" s="14" t="str">
        <f aca="false">IF($A18="","",$B$5)</f>
        <v/>
      </c>
      <c r="AA18" s="14" t="str">
        <f aca="true">IF($A18="","",TODAY())</f>
        <v/>
      </c>
      <c r="AB18" s="16" t="str">
        <f aca="false">IF($A18="","",N18&amp;"|"&amp;P18)</f>
        <v/>
      </c>
    </row>
    <row r="19" customFormat="false" ht="15" hidden="false" customHeight="false" outlineLevel="0" collapsed="false">
      <c r="A19" s="14"/>
      <c r="B19" s="14"/>
      <c r="C19" s="14"/>
      <c r="D19" s="14"/>
      <c r="E19" s="14"/>
      <c r="F19" s="14"/>
      <c r="G19" s="14"/>
      <c r="H19" s="14"/>
      <c r="I19" s="14"/>
      <c r="J19" s="14"/>
      <c r="K19" s="14"/>
      <c r="N19" s="14" t="str">
        <f aca="false">IF($A19="","",$B$4)</f>
        <v/>
      </c>
      <c r="O19" s="14" t="str">
        <f aca="false">IF($A19="","",TRIM($B19))</f>
        <v/>
      </c>
      <c r="P19" s="14" t="str">
        <f aca="false">IF($A19="","",IFERROR(VALUE($A19),$A19))</f>
        <v/>
      </c>
      <c r="Q19" s="14" t="str">
        <f aca="false">IF($A19="","",IFERROR(VALUE($C19),$C19))</f>
        <v/>
      </c>
      <c r="R19" s="14" t="str">
        <f aca="false">IF($A19="","",IFERROR(VALUE($D19),$D19))</f>
        <v/>
      </c>
      <c r="S19" s="14" t="str">
        <f aca="false">IF($A19="","",IFERROR(VALUE($E19),$E19))</f>
        <v/>
      </c>
      <c r="T19" s="14" t="str">
        <f aca="false">IF($A19="","",IFERROR(VALUE($F19),$F19))</f>
        <v/>
      </c>
      <c r="U19" s="14" t="str">
        <f aca="false">IF($A19="","",IFERROR(VALUE($G19),$G19))</f>
        <v/>
      </c>
      <c r="V19" s="14" t="str">
        <f aca="false">IF($A19="","",IFERROR(VALUE($H19),$H19))</f>
        <v/>
      </c>
      <c r="W19" s="14" t="str">
        <f aca="false">IF($A19="","",IFERROR(VALUE($I19),$I19))</f>
        <v/>
      </c>
      <c r="X19" s="14" t="str">
        <f aca="false">IF($A19="","",IFERROR(VALUE($J19),$J19))</f>
        <v/>
      </c>
      <c r="Y19" s="14" t="str">
        <f aca="false">IF($A19="","",IFERROR(VALUE($K19),$K19))</f>
        <v/>
      </c>
      <c r="Z19" s="14" t="str">
        <f aca="false">IF($A19="","",$B$5)</f>
        <v/>
      </c>
      <c r="AA19" s="14" t="str">
        <f aca="true">IF($A19="","",TODAY())</f>
        <v/>
      </c>
      <c r="AB19" s="16" t="str">
        <f aca="false">IF($A19="","",N19&amp;"|"&amp;P19)</f>
        <v/>
      </c>
    </row>
    <row r="20" customFormat="false" ht="15" hidden="false" customHeight="false" outlineLevel="0" collapsed="false">
      <c r="A20" s="14"/>
      <c r="B20" s="14"/>
      <c r="C20" s="14"/>
      <c r="D20" s="14"/>
      <c r="E20" s="14"/>
      <c r="F20" s="14"/>
      <c r="G20" s="14"/>
      <c r="H20" s="14"/>
      <c r="I20" s="14"/>
      <c r="J20" s="14"/>
      <c r="K20" s="14"/>
      <c r="N20" s="14" t="str">
        <f aca="false">IF($A20="","",$B$4)</f>
        <v/>
      </c>
      <c r="O20" s="14" t="str">
        <f aca="false">IF($A20="","",TRIM($B20))</f>
        <v/>
      </c>
      <c r="P20" s="14" t="str">
        <f aca="false">IF($A20="","",IFERROR(VALUE($A20),$A20))</f>
        <v/>
      </c>
      <c r="Q20" s="14" t="str">
        <f aca="false">IF($A20="","",IFERROR(VALUE($C20),$C20))</f>
        <v/>
      </c>
      <c r="R20" s="14" t="str">
        <f aca="false">IF($A20="","",IFERROR(VALUE($D20),$D20))</f>
        <v/>
      </c>
      <c r="S20" s="14" t="str">
        <f aca="false">IF($A20="","",IFERROR(VALUE($E20),$E20))</f>
        <v/>
      </c>
      <c r="T20" s="14" t="str">
        <f aca="false">IF($A20="","",IFERROR(VALUE($F20),$F20))</f>
        <v/>
      </c>
      <c r="U20" s="14" t="str">
        <f aca="false">IF($A20="","",IFERROR(VALUE($G20),$G20))</f>
        <v/>
      </c>
      <c r="V20" s="14" t="str">
        <f aca="false">IF($A20="","",IFERROR(VALUE($H20),$H20))</f>
        <v/>
      </c>
      <c r="W20" s="14" t="str">
        <f aca="false">IF($A20="","",IFERROR(VALUE($I20),$I20))</f>
        <v/>
      </c>
      <c r="X20" s="14" t="str">
        <f aca="false">IF($A20="","",IFERROR(VALUE($J20),$J20))</f>
        <v/>
      </c>
      <c r="Y20" s="14" t="str">
        <f aca="false">IF($A20="","",IFERROR(VALUE($K20),$K20))</f>
        <v/>
      </c>
      <c r="Z20" s="14" t="str">
        <f aca="false">IF($A20="","",$B$5)</f>
        <v/>
      </c>
      <c r="AA20" s="14" t="str">
        <f aca="true">IF($A20="","",TODAY())</f>
        <v/>
      </c>
      <c r="AB20" s="16" t="str">
        <f aca="false">IF($A20="","",N20&amp;"|"&amp;P20)</f>
        <v/>
      </c>
    </row>
    <row r="21" customFormat="false" ht="15" hidden="false" customHeight="false" outlineLevel="0" collapsed="false">
      <c r="A21" s="14"/>
      <c r="B21" s="14"/>
      <c r="C21" s="14"/>
      <c r="D21" s="14"/>
      <c r="E21" s="14"/>
      <c r="F21" s="14"/>
      <c r="G21" s="14"/>
      <c r="H21" s="14"/>
      <c r="I21" s="14"/>
      <c r="J21" s="14"/>
      <c r="K21" s="14"/>
      <c r="N21" s="14" t="str">
        <f aca="false">IF($A21="","",$B$4)</f>
        <v/>
      </c>
      <c r="O21" s="14" t="str">
        <f aca="false">IF($A21="","",TRIM($B21))</f>
        <v/>
      </c>
      <c r="P21" s="14" t="str">
        <f aca="false">IF($A21="","",IFERROR(VALUE($A21),$A21))</f>
        <v/>
      </c>
      <c r="Q21" s="14" t="str">
        <f aca="false">IF($A21="","",IFERROR(VALUE($C21),$C21))</f>
        <v/>
      </c>
      <c r="R21" s="14" t="str">
        <f aca="false">IF($A21="","",IFERROR(VALUE($D21),$D21))</f>
        <v/>
      </c>
      <c r="S21" s="14" t="str">
        <f aca="false">IF($A21="","",IFERROR(VALUE($E21),$E21))</f>
        <v/>
      </c>
      <c r="T21" s="14" t="str">
        <f aca="false">IF($A21="","",IFERROR(VALUE($F21),$F21))</f>
        <v/>
      </c>
      <c r="U21" s="14" t="str">
        <f aca="false">IF($A21="","",IFERROR(VALUE($G21),$G21))</f>
        <v/>
      </c>
      <c r="V21" s="14" t="str">
        <f aca="false">IF($A21="","",IFERROR(VALUE($H21),$H21))</f>
        <v/>
      </c>
      <c r="W21" s="14" t="str">
        <f aca="false">IF($A21="","",IFERROR(VALUE($I21),$I21))</f>
        <v/>
      </c>
      <c r="X21" s="14" t="str">
        <f aca="false">IF($A21="","",IFERROR(VALUE($J21),$J21))</f>
        <v/>
      </c>
      <c r="Y21" s="14" t="str">
        <f aca="false">IF($A21="","",IFERROR(VALUE($K21),$K21))</f>
        <v/>
      </c>
      <c r="Z21" s="14" t="str">
        <f aca="false">IF($A21="","",$B$5)</f>
        <v/>
      </c>
      <c r="AA21" s="14" t="str">
        <f aca="true">IF($A21="","",TODAY())</f>
        <v/>
      </c>
      <c r="AB21" s="16" t="str">
        <f aca="false">IF($A21="","",N21&amp;"|"&amp;P21)</f>
        <v/>
      </c>
    </row>
    <row r="22" customFormat="false" ht="15" hidden="false" customHeight="false" outlineLevel="0" collapsed="false">
      <c r="A22" s="14"/>
      <c r="B22" s="14"/>
      <c r="C22" s="14"/>
      <c r="D22" s="14"/>
      <c r="E22" s="14"/>
      <c r="F22" s="14"/>
      <c r="G22" s="14"/>
      <c r="H22" s="14"/>
      <c r="I22" s="14"/>
      <c r="J22" s="14"/>
      <c r="K22" s="14"/>
      <c r="N22" s="14" t="str">
        <f aca="false">IF($A22="","",$B$4)</f>
        <v/>
      </c>
      <c r="O22" s="14" t="str">
        <f aca="false">IF($A22="","",TRIM($B22))</f>
        <v/>
      </c>
      <c r="P22" s="14" t="str">
        <f aca="false">IF($A22="","",IFERROR(VALUE($A22),$A22))</f>
        <v/>
      </c>
      <c r="Q22" s="14" t="str">
        <f aca="false">IF($A22="","",IFERROR(VALUE($C22),$C22))</f>
        <v/>
      </c>
      <c r="R22" s="14" t="str">
        <f aca="false">IF($A22="","",IFERROR(VALUE($D22),$D22))</f>
        <v/>
      </c>
      <c r="S22" s="14" t="str">
        <f aca="false">IF($A22="","",IFERROR(VALUE($E22),$E22))</f>
        <v/>
      </c>
      <c r="T22" s="14" t="str">
        <f aca="false">IF($A22="","",IFERROR(VALUE($F22),$F22))</f>
        <v/>
      </c>
      <c r="U22" s="14" t="str">
        <f aca="false">IF($A22="","",IFERROR(VALUE($G22),$G22))</f>
        <v/>
      </c>
      <c r="V22" s="14" t="str">
        <f aca="false">IF($A22="","",IFERROR(VALUE($H22),$H22))</f>
        <v/>
      </c>
      <c r="W22" s="14" t="str">
        <f aca="false">IF($A22="","",IFERROR(VALUE($I22),$I22))</f>
        <v/>
      </c>
      <c r="X22" s="14" t="str">
        <f aca="false">IF($A22="","",IFERROR(VALUE($J22),$J22))</f>
        <v/>
      </c>
      <c r="Y22" s="14" t="str">
        <f aca="false">IF($A22="","",IFERROR(VALUE($K22),$K22))</f>
        <v/>
      </c>
      <c r="Z22" s="14" t="str">
        <f aca="false">IF($A22="","",$B$5)</f>
        <v/>
      </c>
      <c r="AA22" s="14" t="str">
        <f aca="true">IF($A22="","",TODAY())</f>
        <v/>
      </c>
      <c r="AB22" s="16" t="str">
        <f aca="false">IF($A22="","",N22&amp;"|"&amp;P22)</f>
        <v/>
      </c>
    </row>
    <row r="23" customFormat="false" ht="15" hidden="false" customHeight="false" outlineLevel="0" collapsed="false">
      <c r="A23" s="14"/>
      <c r="B23" s="14"/>
      <c r="C23" s="14"/>
      <c r="D23" s="14"/>
      <c r="E23" s="14"/>
      <c r="F23" s="14"/>
      <c r="G23" s="14"/>
      <c r="H23" s="14"/>
      <c r="I23" s="14"/>
      <c r="J23" s="14"/>
      <c r="K23" s="14"/>
      <c r="N23" s="14" t="str">
        <f aca="false">IF($A23="","",$B$4)</f>
        <v/>
      </c>
      <c r="O23" s="14" t="str">
        <f aca="false">IF($A23="","",TRIM($B23))</f>
        <v/>
      </c>
      <c r="P23" s="14" t="str">
        <f aca="false">IF($A23="","",IFERROR(VALUE($A23),$A23))</f>
        <v/>
      </c>
      <c r="Q23" s="14" t="str">
        <f aca="false">IF($A23="","",IFERROR(VALUE($C23),$C23))</f>
        <v/>
      </c>
      <c r="R23" s="14" t="str">
        <f aca="false">IF($A23="","",IFERROR(VALUE($D23),$D23))</f>
        <v/>
      </c>
      <c r="S23" s="14" t="str">
        <f aca="false">IF($A23="","",IFERROR(VALUE($E23),$E23))</f>
        <v/>
      </c>
      <c r="T23" s="14" t="str">
        <f aca="false">IF($A23="","",IFERROR(VALUE($F23),$F23))</f>
        <v/>
      </c>
      <c r="U23" s="14" t="str">
        <f aca="false">IF($A23="","",IFERROR(VALUE($G23),$G23))</f>
        <v/>
      </c>
      <c r="V23" s="14" t="str">
        <f aca="false">IF($A23="","",IFERROR(VALUE($H23),$H23))</f>
        <v/>
      </c>
      <c r="W23" s="14" t="str">
        <f aca="false">IF($A23="","",IFERROR(VALUE($I23),$I23))</f>
        <v/>
      </c>
      <c r="X23" s="14" t="str">
        <f aca="false">IF($A23="","",IFERROR(VALUE($J23),$J23))</f>
        <v/>
      </c>
      <c r="Y23" s="14" t="str">
        <f aca="false">IF($A23="","",IFERROR(VALUE($K23),$K23))</f>
        <v/>
      </c>
      <c r="Z23" s="14" t="str">
        <f aca="false">IF($A23="","",$B$5)</f>
        <v/>
      </c>
      <c r="AA23" s="14" t="str">
        <f aca="true">IF($A23="","",TODAY())</f>
        <v/>
      </c>
      <c r="AB23" s="16" t="str">
        <f aca="false">IF($A23="","",N23&amp;"|"&amp;P23)</f>
        <v/>
      </c>
    </row>
    <row r="24" customFormat="false" ht="15" hidden="false" customHeight="false" outlineLevel="0" collapsed="false">
      <c r="A24" s="14"/>
      <c r="B24" s="14"/>
      <c r="C24" s="14"/>
      <c r="D24" s="14"/>
      <c r="E24" s="14"/>
      <c r="F24" s="14"/>
      <c r="G24" s="14"/>
      <c r="H24" s="14"/>
      <c r="I24" s="14"/>
      <c r="J24" s="14"/>
      <c r="K24" s="14"/>
      <c r="N24" s="14" t="str">
        <f aca="false">IF($A24="","",$B$4)</f>
        <v/>
      </c>
      <c r="O24" s="14" t="str">
        <f aca="false">IF($A24="","",TRIM($B24))</f>
        <v/>
      </c>
      <c r="P24" s="14" t="str">
        <f aca="false">IF($A24="","",IFERROR(VALUE($A24),$A24))</f>
        <v/>
      </c>
      <c r="Q24" s="14" t="str">
        <f aca="false">IF($A24="","",IFERROR(VALUE($C24),$C24))</f>
        <v/>
      </c>
      <c r="R24" s="14" t="str">
        <f aca="false">IF($A24="","",IFERROR(VALUE($D24),$D24))</f>
        <v/>
      </c>
      <c r="S24" s="14" t="str">
        <f aca="false">IF($A24="","",IFERROR(VALUE($E24),$E24))</f>
        <v/>
      </c>
      <c r="T24" s="14" t="str">
        <f aca="false">IF($A24="","",IFERROR(VALUE($F24),$F24))</f>
        <v/>
      </c>
      <c r="U24" s="14" t="str">
        <f aca="false">IF($A24="","",IFERROR(VALUE($G24),$G24))</f>
        <v/>
      </c>
      <c r="V24" s="14" t="str">
        <f aca="false">IF($A24="","",IFERROR(VALUE($H24),$H24))</f>
        <v/>
      </c>
      <c r="W24" s="14" t="str">
        <f aca="false">IF($A24="","",IFERROR(VALUE($I24),$I24))</f>
        <v/>
      </c>
      <c r="X24" s="14" t="str">
        <f aca="false">IF($A24="","",IFERROR(VALUE($J24),$J24))</f>
        <v/>
      </c>
      <c r="Y24" s="14" t="str">
        <f aca="false">IF($A24="","",IFERROR(VALUE($K24),$K24))</f>
        <v/>
      </c>
      <c r="Z24" s="14" t="str">
        <f aca="false">IF($A24="","",$B$5)</f>
        <v/>
      </c>
      <c r="AA24" s="14" t="str">
        <f aca="true">IF($A24="","",TODAY())</f>
        <v/>
      </c>
      <c r="AB24" s="16" t="str">
        <f aca="false">IF($A24="","",N24&amp;"|"&amp;P24)</f>
        <v/>
      </c>
    </row>
    <row r="25" customFormat="false" ht="15" hidden="false" customHeight="false" outlineLevel="0" collapsed="false">
      <c r="A25" s="14"/>
      <c r="B25" s="14"/>
      <c r="C25" s="14"/>
      <c r="D25" s="14"/>
      <c r="E25" s="14"/>
      <c r="F25" s="14"/>
      <c r="G25" s="14"/>
      <c r="H25" s="14"/>
      <c r="I25" s="14"/>
      <c r="J25" s="14"/>
      <c r="K25" s="14"/>
      <c r="N25" s="14" t="str">
        <f aca="false">IF($A25="","",$B$4)</f>
        <v/>
      </c>
      <c r="O25" s="14" t="str">
        <f aca="false">IF($A25="","",TRIM($B25))</f>
        <v/>
      </c>
      <c r="P25" s="14" t="str">
        <f aca="false">IF($A25="","",IFERROR(VALUE($A25),$A25))</f>
        <v/>
      </c>
      <c r="Q25" s="14" t="str">
        <f aca="false">IF($A25="","",IFERROR(VALUE($C25),$C25))</f>
        <v/>
      </c>
      <c r="R25" s="14" t="str">
        <f aca="false">IF($A25="","",IFERROR(VALUE($D25),$D25))</f>
        <v/>
      </c>
      <c r="S25" s="14" t="str">
        <f aca="false">IF($A25="","",IFERROR(VALUE($E25),$E25))</f>
        <v/>
      </c>
      <c r="T25" s="14" t="str">
        <f aca="false">IF($A25="","",IFERROR(VALUE($F25),$F25))</f>
        <v/>
      </c>
      <c r="U25" s="14" t="str">
        <f aca="false">IF($A25="","",IFERROR(VALUE($G25),$G25))</f>
        <v/>
      </c>
      <c r="V25" s="14" t="str">
        <f aca="false">IF($A25="","",IFERROR(VALUE($H25),$H25))</f>
        <v/>
      </c>
      <c r="W25" s="14" t="str">
        <f aca="false">IF($A25="","",IFERROR(VALUE($I25),$I25))</f>
        <v/>
      </c>
      <c r="X25" s="14" t="str">
        <f aca="false">IF($A25="","",IFERROR(VALUE($J25),$J25))</f>
        <v/>
      </c>
      <c r="Y25" s="14" t="str">
        <f aca="false">IF($A25="","",IFERROR(VALUE($K25),$K25))</f>
        <v/>
      </c>
      <c r="Z25" s="14" t="str">
        <f aca="false">IF($A25="","",$B$5)</f>
        <v/>
      </c>
      <c r="AA25" s="14" t="str">
        <f aca="true">IF($A25="","",TODAY())</f>
        <v/>
      </c>
      <c r="AB25" s="16" t="str">
        <f aca="false">IF($A25="","",N25&amp;"|"&amp;P25)</f>
        <v/>
      </c>
    </row>
    <row r="26" customFormat="false" ht="15" hidden="false" customHeight="false" outlineLevel="0" collapsed="false">
      <c r="A26" s="14"/>
      <c r="B26" s="14"/>
      <c r="C26" s="14"/>
      <c r="D26" s="14"/>
      <c r="E26" s="14"/>
      <c r="F26" s="14"/>
      <c r="G26" s="14"/>
      <c r="H26" s="14"/>
      <c r="I26" s="14"/>
      <c r="J26" s="14"/>
      <c r="K26" s="14"/>
      <c r="N26" s="14" t="str">
        <f aca="false">IF($A26="","",$B$4)</f>
        <v/>
      </c>
      <c r="O26" s="14" t="str">
        <f aca="false">IF($A26="","",TRIM($B26))</f>
        <v/>
      </c>
      <c r="P26" s="14" t="str">
        <f aca="false">IF($A26="","",IFERROR(VALUE($A26),$A26))</f>
        <v/>
      </c>
      <c r="Q26" s="14" t="str">
        <f aca="false">IF($A26="","",IFERROR(VALUE($C26),$C26))</f>
        <v/>
      </c>
      <c r="R26" s="14" t="str">
        <f aca="false">IF($A26="","",IFERROR(VALUE($D26),$D26))</f>
        <v/>
      </c>
      <c r="S26" s="14" t="str">
        <f aca="false">IF($A26="","",IFERROR(VALUE($E26),$E26))</f>
        <v/>
      </c>
      <c r="T26" s="14" t="str">
        <f aca="false">IF($A26="","",IFERROR(VALUE($F26),$F26))</f>
        <v/>
      </c>
      <c r="U26" s="14" t="str">
        <f aca="false">IF($A26="","",IFERROR(VALUE($G26),$G26))</f>
        <v/>
      </c>
      <c r="V26" s="14" t="str">
        <f aca="false">IF($A26="","",IFERROR(VALUE($H26),$H26))</f>
        <v/>
      </c>
      <c r="W26" s="14" t="str">
        <f aca="false">IF($A26="","",IFERROR(VALUE($I26),$I26))</f>
        <v/>
      </c>
      <c r="X26" s="14" t="str">
        <f aca="false">IF($A26="","",IFERROR(VALUE($J26),$J26))</f>
        <v/>
      </c>
      <c r="Y26" s="14" t="str">
        <f aca="false">IF($A26="","",IFERROR(VALUE($K26),$K26))</f>
        <v/>
      </c>
      <c r="Z26" s="14" t="str">
        <f aca="false">IF($A26="","",$B$5)</f>
        <v/>
      </c>
      <c r="AA26" s="14" t="str">
        <f aca="true">IF($A26="","",TODAY())</f>
        <v/>
      </c>
      <c r="AB26" s="16" t="str">
        <f aca="false">IF($A26="","",N26&amp;"|"&amp;P26)</f>
        <v/>
      </c>
    </row>
    <row r="27" customFormat="false" ht="15" hidden="false" customHeight="false" outlineLevel="0" collapsed="false">
      <c r="A27" s="14"/>
      <c r="B27" s="14"/>
      <c r="C27" s="14"/>
      <c r="D27" s="14"/>
      <c r="E27" s="14"/>
      <c r="F27" s="14"/>
      <c r="G27" s="14"/>
      <c r="H27" s="14"/>
      <c r="I27" s="14"/>
      <c r="J27" s="14"/>
      <c r="K27" s="14"/>
      <c r="N27" s="14" t="str">
        <f aca="false">IF($A27="","",$B$4)</f>
        <v/>
      </c>
      <c r="O27" s="14" t="str">
        <f aca="false">IF($A27="","",TRIM($B27))</f>
        <v/>
      </c>
      <c r="P27" s="14" t="str">
        <f aca="false">IF($A27="","",IFERROR(VALUE($A27),$A27))</f>
        <v/>
      </c>
      <c r="Q27" s="14" t="str">
        <f aca="false">IF($A27="","",IFERROR(VALUE($C27),$C27))</f>
        <v/>
      </c>
      <c r="R27" s="14" t="str">
        <f aca="false">IF($A27="","",IFERROR(VALUE($D27),$D27))</f>
        <v/>
      </c>
      <c r="S27" s="14" t="str">
        <f aca="false">IF($A27="","",IFERROR(VALUE($E27),$E27))</f>
        <v/>
      </c>
      <c r="T27" s="14" t="str">
        <f aca="false">IF($A27="","",IFERROR(VALUE($F27),$F27))</f>
        <v/>
      </c>
      <c r="U27" s="14" t="str">
        <f aca="false">IF($A27="","",IFERROR(VALUE($G27),$G27))</f>
        <v/>
      </c>
      <c r="V27" s="14" t="str">
        <f aca="false">IF($A27="","",IFERROR(VALUE($H27),$H27))</f>
        <v/>
      </c>
      <c r="W27" s="14" t="str">
        <f aca="false">IF($A27="","",IFERROR(VALUE($I27),$I27))</f>
        <v/>
      </c>
      <c r="X27" s="14" t="str">
        <f aca="false">IF($A27="","",IFERROR(VALUE($J27),$J27))</f>
        <v/>
      </c>
      <c r="Y27" s="14" t="str">
        <f aca="false">IF($A27="","",IFERROR(VALUE($K27),$K27))</f>
        <v/>
      </c>
      <c r="Z27" s="14" t="str">
        <f aca="false">IF($A27="","",$B$5)</f>
        <v/>
      </c>
      <c r="AA27" s="14" t="str">
        <f aca="true">IF($A27="","",TODAY())</f>
        <v/>
      </c>
      <c r="AB27" s="16" t="str">
        <f aca="false">IF($A27="","",N27&amp;"|"&amp;P27)</f>
        <v/>
      </c>
    </row>
    <row r="28" customFormat="false" ht="15" hidden="false" customHeight="false" outlineLevel="0" collapsed="false">
      <c r="A28" s="14"/>
      <c r="B28" s="14"/>
      <c r="C28" s="14"/>
      <c r="D28" s="14"/>
      <c r="E28" s="14"/>
      <c r="F28" s="14"/>
      <c r="G28" s="14"/>
      <c r="H28" s="14"/>
      <c r="I28" s="14"/>
      <c r="J28" s="14"/>
      <c r="K28" s="14"/>
      <c r="N28" s="14" t="str">
        <f aca="false">IF($A28="","",$B$4)</f>
        <v/>
      </c>
      <c r="O28" s="14" t="str">
        <f aca="false">IF($A28="","",TRIM($B28))</f>
        <v/>
      </c>
      <c r="P28" s="14" t="str">
        <f aca="false">IF($A28="","",IFERROR(VALUE($A28),$A28))</f>
        <v/>
      </c>
      <c r="Q28" s="14" t="str">
        <f aca="false">IF($A28="","",IFERROR(VALUE($C28),$C28))</f>
        <v/>
      </c>
      <c r="R28" s="14" t="str">
        <f aca="false">IF($A28="","",IFERROR(VALUE($D28),$D28))</f>
        <v/>
      </c>
      <c r="S28" s="14" t="str">
        <f aca="false">IF($A28="","",IFERROR(VALUE($E28),$E28))</f>
        <v/>
      </c>
      <c r="T28" s="14" t="str">
        <f aca="false">IF($A28="","",IFERROR(VALUE($F28),$F28))</f>
        <v/>
      </c>
      <c r="U28" s="14" t="str">
        <f aca="false">IF($A28="","",IFERROR(VALUE($G28),$G28))</f>
        <v/>
      </c>
      <c r="V28" s="14" t="str">
        <f aca="false">IF($A28="","",IFERROR(VALUE($H28),$H28))</f>
        <v/>
      </c>
      <c r="W28" s="14" t="str">
        <f aca="false">IF($A28="","",IFERROR(VALUE($I28),$I28))</f>
        <v/>
      </c>
      <c r="X28" s="14" t="str">
        <f aca="false">IF($A28="","",IFERROR(VALUE($J28),$J28))</f>
        <v/>
      </c>
      <c r="Y28" s="14" t="str">
        <f aca="false">IF($A28="","",IFERROR(VALUE($K28),$K28))</f>
        <v/>
      </c>
      <c r="Z28" s="14" t="str">
        <f aca="false">IF($A28="","",$B$5)</f>
        <v/>
      </c>
      <c r="AA28" s="14" t="str">
        <f aca="true">IF($A28="","",TODAY())</f>
        <v/>
      </c>
      <c r="AB28" s="16" t="str">
        <f aca="false">IF($A28="","",N28&amp;"|"&amp;P28)</f>
        <v/>
      </c>
    </row>
    <row r="29" customFormat="false" ht="15" hidden="false" customHeight="false" outlineLevel="0" collapsed="false">
      <c r="A29" s="14"/>
      <c r="B29" s="14"/>
      <c r="C29" s="14"/>
      <c r="D29" s="14"/>
      <c r="E29" s="14"/>
      <c r="F29" s="14"/>
      <c r="G29" s="14"/>
      <c r="H29" s="14"/>
      <c r="I29" s="14"/>
      <c r="J29" s="14"/>
      <c r="K29" s="14"/>
      <c r="N29" s="14" t="str">
        <f aca="false">IF($A29="","",$B$4)</f>
        <v/>
      </c>
      <c r="O29" s="14" t="str">
        <f aca="false">IF($A29="","",TRIM($B29))</f>
        <v/>
      </c>
      <c r="P29" s="14" t="str">
        <f aca="false">IF($A29="","",IFERROR(VALUE($A29),$A29))</f>
        <v/>
      </c>
      <c r="Q29" s="14" t="str">
        <f aca="false">IF($A29="","",IFERROR(VALUE($C29),$C29))</f>
        <v/>
      </c>
      <c r="R29" s="14" t="str">
        <f aca="false">IF($A29="","",IFERROR(VALUE($D29),$D29))</f>
        <v/>
      </c>
      <c r="S29" s="14" t="str">
        <f aca="false">IF($A29="","",IFERROR(VALUE($E29),$E29))</f>
        <v/>
      </c>
      <c r="T29" s="14" t="str">
        <f aca="false">IF($A29="","",IFERROR(VALUE($F29),$F29))</f>
        <v/>
      </c>
      <c r="U29" s="14" t="str">
        <f aca="false">IF($A29="","",IFERROR(VALUE($G29),$G29))</f>
        <v/>
      </c>
      <c r="V29" s="14" t="str">
        <f aca="false">IF($A29="","",IFERROR(VALUE($H29),$H29))</f>
        <v/>
      </c>
      <c r="W29" s="14" t="str">
        <f aca="false">IF($A29="","",IFERROR(VALUE($I29),$I29))</f>
        <v/>
      </c>
      <c r="X29" s="14" t="str">
        <f aca="false">IF($A29="","",IFERROR(VALUE($J29),$J29))</f>
        <v/>
      </c>
      <c r="Y29" s="14" t="str">
        <f aca="false">IF($A29="","",IFERROR(VALUE($K29),$K29))</f>
        <v/>
      </c>
      <c r="Z29" s="14" t="str">
        <f aca="false">IF($A29="","",$B$5)</f>
        <v/>
      </c>
      <c r="AA29" s="14" t="str">
        <f aca="true">IF($A29="","",TODAY())</f>
        <v/>
      </c>
      <c r="AB29" s="16" t="str">
        <f aca="false">IF($A29="","",N29&amp;"|"&amp;P29)</f>
        <v/>
      </c>
    </row>
    <row r="30" customFormat="false" ht="15" hidden="false" customHeight="false" outlineLevel="0" collapsed="false">
      <c r="A30" s="14"/>
      <c r="B30" s="14"/>
      <c r="C30" s="14"/>
      <c r="D30" s="14"/>
      <c r="E30" s="14"/>
      <c r="F30" s="14"/>
      <c r="G30" s="14"/>
      <c r="H30" s="14"/>
      <c r="I30" s="14"/>
      <c r="J30" s="14"/>
      <c r="K30" s="14"/>
      <c r="N30" s="14" t="str">
        <f aca="false">IF($A30="","",$B$4)</f>
        <v/>
      </c>
      <c r="O30" s="14" t="str">
        <f aca="false">IF($A30="","",TRIM($B30))</f>
        <v/>
      </c>
      <c r="P30" s="14" t="str">
        <f aca="false">IF($A30="","",IFERROR(VALUE($A30),$A30))</f>
        <v/>
      </c>
      <c r="Q30" s="14" t="str">
        <f aca="false">IF($A30="","",IFERROR(VALUE($C30),$C30))</f>
        <v/>
      </c>
      <c r="R30" s="14" t="str">
        <f aca="false">IF($A30="","",IFERROR(VALUE($D30),$D30))</f>
        <v/>
      </c>
      <c r="S30" s="14" t="str">
        <f aca="false">IF($A30="","",IFERROR(VALUE($E30),$E30))</f>
        <v/>
      </c>
      <c r="T30" s="14" t="str">
        <f aca="false">IF($A30="","",IFERROR(VALUE($F30),$F30))</f>
        <v/>
      </c>
      <c r="U30" s="14" t="str">
        <f aca="false">IF($A30="","",IFERROR(VALUE($G30),$G30))</f>
        <v/>
      </c>
      <c r="V30" s="14" t="str">
        <f aca="false">IF($A30="","",IFERROR(VALUE($H30),$H30))</f>
        <v/>
      </c>
      <c r="W30" s="14" t="str">
        <f aca="false">IF($A30="","",IFERROR(VALUE($I30),$I30))</f>
        <v/>
      </c>
      <c r="X30" s="14" t="str">
        <f aca="false">IF($A30="","",IFERROR(VALUE($J30),$J30))</f>
        <v/>
      </c>
      <c r="Y30" s="14" t="str">
        <f aca="false">IF($A30="","",IFERROR(VALUE($K30),$K30))</f>
        <v/>
      </c>
      <c r="Z30" s="14" t="str">
        <f aca="false">IF($A30="","",$B$5)</f>
        <v/>
      </c>
      <c r="AA30" s="14" t="str">
        <f aca="true">IF($A30="","",TODAY())</f>
        <v/>
      </c>
      <c r="AB30" s="16" t="str">
        <f aca="false">IF($A30="","",N30&amp;"|"&amp;P30)</f>
        <v/>
      </c>
    </row>
  </sheetData>
  <mergeCells count="4">
    <mergeCell ref="A1:K1"/>
    <mergeCell ref="A2:K2"/>
    <mergeCell ref="B5:E5"/>
    <mergeCell ref="N6:AB6"/>
  </mergeCells>
  <dataValidations count="1">
    <dataValidation allowBlank="true" errorStyle="stop" operator="between" showDropDown="false" showErrorMessage="false" showInputMessage="false" sqref="B4" type="list">
      <formula1>Lists!$A$2:$A$28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12" min="3" style="0" width="16"/>
    <col collapsed="false" customWidth="true" hidden="false" outlineLevel="0" max="13" min="13" style="0" width="45"/>
    <col collapsed="false" customWidth="true" hidden="false" outlineLevel="0" max="14" min="14" style="0" width="16"/>
    <col collapsed="false" customWidth="true" hidden="false" outlineLevel="0" max="15" min="15" style="0" width="20"/>
  </cols>
  <sheetData>
    <row r="1" customFormat="false" ht="15" hidden="false" customHeight="false" outlineLevel="0" collapsed="false">
      <c r="A1" s="12" t="s">
        <v>63</v>
      </c>
      <c r="B1" s="12" t="s">
        <v>52</v>
      </c>
      <c r="C1" s="12" t="s">
        <v>51</v>
      </c>
      <c r="D1" s="12" t="s">
        <v>53</v>
      </c>
      <c r="E1" s="12" t="s">
        <v>54</v>
      </c>
      <c r="F1" s="12" t="s">
        <v>55</v>
      </c>
      <c r="G1" s="12" t="s">
        <v>56</v>
      </c>
      <c r="H1" s="12" t="s">
        <v>57</v>
      </c>
      <c r="I1" s="12" t="s">
        <v>58</v>
      </c>
      <c r="J1" s="12" t="s">
        <v>59</v>
      </c>
      <c r="K1" s="12" t="s">
        <v>60</v>
      </c>
      <c r="L1" s="12" t="s">
        <v>61</v>
      </c>
      <c r="M1" s="12" t="s">
        <v>64</v>
      </c>
      <c r="N1" s="12" t="s">
        <v>65</v>
      </c>
      <c r="O1" s="12" t="s">
        <v>66</v>
      </c>
    </row>
    <row r="2" customFormat="false" ht="15" hidden="false" customHeight="false" outlineLevel="0" collapsed="false">
      <c r="A2" s="17" t="s">
        <v>67</v>
      </c>
      <c r="B2" s="17" t="s">
        <v>68</v>
      </c>
      <c r="C2" s="17" t="n">
        <v>1</v>
      </c>
      <c r="D2" s="17" t="n">
        <v>22</v>
      </c>
      <c r="E2" s="17" t="n">
        <v>18</v>
      </c>
      <c r="F2" s="17" t="n">
        <v>1</v>
      </c>
      <c r="G2" s="17" t="n">
        <v>3</v>
      </c>
      <c r="H2" s="17" t="n">
        <v>650</v>
      </c>
      <c r="I2" s="17" t="n">
        <v>420</v>
      </c>
      <c r="J2" s="17" t="n">
        <v>230</v>
      </c>
      <c r="K2" s="17" t="n">
        <v>12</v>
      </c>
      <c r="L2" s="17" t="n">
        <v>84</v>
      </c>
      <c r="M2" s="17" t="s">
        <v>69</v>
      </c>
      <c r="N2" s="18" t="n">
        <f aca="true">TODAY()</f>
        <v>46237</v>
      </c>
      <c r="O2" s="17" t="str">
        <f aca="false">A2&amp;"|"&amp;C2</f>
        <v>2025/26|1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20"/>
    <col collapsed="false" customWidth="true" hidden="false" outlineLevel="0" max="3" min="3" style="0" width="13"/>
    <col collapsed="false" customWidth="true" hidden="false" outlineLevel="0" max="4" min="4" style="0" width="8"/>
    <col collapsed="false" customWidth="true" hidden="false" outlineLevel="0" max="5" min="5" style="0" width="9"/>
    <col collapsed="false" customWidth="true" hidden="false" outlineLevel="0" max="7" min="6" style="0" width="12"/>
  </cols>
  <sheetData>
    <row r="1" customFormat="false" ht="19.7" hidden="false" customHeight="false" outlineLevel="0" collapsed="false">
      <c r="A1" s="5" t="s">
        <v>70</v>
      </c>
      <c r="B1" s="5"/>
      <c r="C1" s="5"/>
      <c r="D1" s="5"/>
      <c r="E1" s="5"/>
      <c r="F1" s="5"/>
      <c r="G1" s="5"/>
    </row>
    <row r="2" customFormat="false" ht="60" hidden="false" customHeight="true" outlineLevel="0" collapsed="false">
      <c r="A2" s="6" t="s">
        <v>71</v>
      </c>
      <c r="B2" s="6"/>
      <c r="C2" s="6"/>
      <c r="D2" s="6"/>
      <c r="E2" s="6"/>
      <c r="F2" s="6"/>
      <c r="G2" s="6"/>
    </row>
    <row r="4" customFormat="false" ht="15" hidden="false" customHeight="false" outlineLevel="0" collapsed="false">
      <c r="A4" s="9" t="s">
        <v>49</v>
      </c>
      <c r="B4" s="10"/>
    </row>
    <row r="5" customFormat="false" ht="15" hidden="false" customHeight="false" outlineLevel="0" collapsed="false">
      <c r="A5" s="9" t="s">
        <v>50</v>
      </c>
      <c r="B5" s="11"/>
      <c r="C5" s="11"/>
      <c r="D5" s="11"/>
      <c r="E5" s="11"/>
    </row>
    <row r="6" customFormat="false" ht="15" hidden="false" customHeight="false" outlineLevel="0" collapsed="false">
      <c r="A6" s="12" t="s">
        <v>72</v>
      </c>
      <c r="B6" s="12" t="s">
        <v>52</v>
      </c>
      <c r="C6" s="12" t="s">
        <v>73</v>
      </c>
      <c r="D6" s="12" t="s">
        <v>74</v>
      </c>
      <c r="E6" s="12" t="s">
        <v>75</v>
      </c>
      <c r="F6" s="12" t="s">
        <v>76</v>
      </c>
      <c r="G6" s="12" t="s">
        <v>77</v>
      </c>
      <c r="J6" s="13" t="s">
        <v>78</v>
      </c>
      <c r="K6" s="13"/>
      <c r="L6" s="13"/>
      <c r="M6" s="13"/>
      <c r="N6" s="13"/>
      <c r="O6" s="13"/>
      <c r="P6" s="13"/>
      <c r="Q6" s="13"/>
    </row>
    <row r="7" customFormat="false" ht="15" hidden="false" customHeight="false" outlineLevel="0" collapsed="false">
      <c r="A7" s="14"/>
      <c r="B7" s="14"/>
      <c r="C7" s="14"/>
      <c r="D7" s="14"/>
      <c r="E7" s="14"/>
      <c r="F7" s="14"/>
      <c r="G7" s="14"/>
      <c r="J7" s="15" t="str">
        <f aca="false">IF($A7="","",$B$4)</f>
        <v/>
      </c>
      <c r="K7" s="15" t="str">
        <f aca="false">IF($A7="","",TRIM($A7))</f>
        <v/>
      </c>
      <c r="L7" s="15" t="str">
        <f aca="false">IF($A7="","",TRIM($B7))</f>
        <v/>
      </c>
      <c r="M7" s="15" t="str">
        <f aca="false">IF($A7="","",IFERROR(VALUE($C7),$C7))</f>
        <v/>
      </c>
      <c r="N7" s="15" t="str">
        <f aca="false">IF($A7="","",IFERROR(VALUE($D7),$D7))</f>
        <v/>
      </c>
      <c r="O7" s="15" t="str">
        <f aca="false">IF($A7="","",IFERROR(VALUE($E7),$E7))</f>
        <v/>
      </c>
      <c r="P7" s="15" t="str">
        <f aca="false">IF($A7="","",IFERROR(VALUE($F7),$F7))</f>
        <v/>
      </c>
      <c r="Q7" s="15" t="str">
        <f aca="false">IF($A7="","",IFERROR(VALUE($G7),$G7))</f>
        <v/>
      </c>
      <c r="R7" s="15" t="str">
        <f aca="false">IF($A7="","",$B$5)</f>
        <v/>
      </c>
      <c r="S7" s="15" t="str">
        <f aca="true">IF($A7="","",TODAY())</f>
        <v/>
      </c>
    </row>
    <row r="8" customFormat="false" ht="15" hidden="false" customHeight="false" outlineLevel="0" collapsed="false">
      <c r="A8" s="14"/>
      <c r="B8" s="14"/>
      <c r="C8" s="14"/>
      <c r="D8" s="14"/>
      <c r="E8" s="14"/>
      <c r="F8" s="14"/>
      <c r="G8" s="14"/>
      <c r="J8" s="14" t="str">
        <f aca="false">IF($A8="","",$B$4)</f>
        <v/>
      </c>
      <c r="K8" s="14" t="str">
        <f aca="false">IF($A8="","",TRIM($A8))</f>
        <v/>
      </c>
      <c r="L8" s="14" t="str">
        <f aca="false">IF($A8="","",TRIM($B8))</f>
        <v/>
      </c>
      <c r="M8" s="14" t="str">
        <f aca="false">IF($A8="","",IFERROR(VALUE($C8),$C8))</f>
        <v/>
      </c>
      <c r="N8" s="14" t="str">
        <f aca="false">IF($A8="","",IFERROR(VALUE($D8),$D8))</f>
        <v/>
      </c>
      <c r="O8" s="14" t="str">
        <f aca="false">IF($A8="","",IFERROR(VALUE($E8),$E8))</f>
        <v/>
      </c>
      <c r="P8" s="14" t="str">
        <f aca="false">IF($A8="","",IFERROR(VALUE($F8),$F8))</f>
        <v/>
      </c>
      <c r="Q8" s="14" t="str">
        <f aca="false">IF($A8="","",IFERROR(VALUE($G8),$G8))</f>
        <v/>
      </c>
      <c r="R8" s="14" t="str">
        <f aca="false">IF($A8="","",$B$5)</f>
        <v/>
      </c>
      <c r="S8" s="14" t="str">
        <f aca="true">IF($A8="","",TODAY())</f>
        <v/>
      </c>
    </row>
    <row r="9" customFormat="false" ht="15" hidden="false" customHeight="false" outlineLevel="0" collapsed="false">
      <c r="A9" s="14"/>
      <c r="B9" s="14"/>
      <c r="C9" s="14"/>
      <c r="D9" s="14"/>
      <c r="E9" s="14"/>
      <c r="F9" s="14"/>
      <c r="G9" s="14"/>
      <c r="J9" s="14" t="str">
        <f aca="false">IF($A9="","",$B$4)</f>
        <v/>
      </c>
      <c r="K9" s="14" t="str">
        <f aca="false">IF($A9="","",TRIM($A9))</f>
        <v/>
      </c>
      <c r="L9" s="14" t="str">
        <f aca="false">IF($A9="","",TRIM($B9))</f>
        <v/>
      </c>
      <c r="M9" s="14" t="str">
        <f aca="false">IF($A9="","",IFERROR(VALUE($C9),$C9))</f>
        <v/>
      </c>
      <c r="N9" s="14" t="str">
        <f aca="false">IF($A9="","",IFERROR(VALUE($D9),$D9))</f>
        <v/>
      </c>
      <c r="O9" s="14" t="str">
        <f aca="false">IF($A9="","",IFERROR(VALUE($E9),$E9))</f>
        <v/>
      </c>
      <c r="P9" s="14" t="str">
        <f aca="false">IF($A9="","",IFERROR(VALUE($F9),$F9))</f>
        <v/>
      </c>
      <c r="Q9" s="14" t="str">
        <f aca="false">IF($A9="","",IFERROR(VALUE($G9),$G9))</f>
        <v/>
      </c>
      <c r="R9" s="14" t="str">
        <f aca="false">IF($A9="","",$B$5)</f>
        <v/>
      </c>
      <c r="S9" s="14" t="str">
        <f aca="true">IF($A9="","",TODAY())</f>
        <v/>
      </c>
    </row>
    <row r="10" customFormat="false" ht="15" hidden="false" customHeight="false" outlineLevel="0" collapsed="false">
      <c r="A10" s="14"/>
      <c r="B10" s="14"/>
      <c r="C10" s="14"/>
      <c r="D10" s="14"/>
      <c r="E10" s="14"/>
      <c r="F10" s="14"/>
      <c r="G10" s="14"/>
      <c r="J10" s="14" t="str">
        <f aca="false">IF($A10="","",$B$4)</f>
        <v/>
      </c>
      <c r="K10" s="14" t="str">
        <f aca="false">IF($A10="","",TRIM($A10))</f>
        <v/>
      </c>
      <c r="L10" s="14" t="str">
        <f aca="false">IF($A10="","",TRIM($B10))</f>
        <v/>
      </c>
      <c r="M10" s="14" t="str">
        <f aca="false">IF($A10="","",IFERROR(VALUE($C10),$C10))</f>
        <v/>
      </c>
      <c r="N10" s="14" t="str">
        <f aca="false">IF($A10="","",IFERROR(VALUE($D10),$D10))</f>
        <v/>
      </c>
      <c r="O10" s="14" t="str">
        <f aca="false">IF($A10="","",IFERROR(VALUE($E10),$E10))</f>
        <v/>
      </c>
      <c r="P10" s="14" t="str">
        <f aca="false">IF($A10="","",IFERROR(VALUE($F10),$F10))</f>
        <v/>
      </c>
      <c r="Q10" s="14" t="str">
        <f aca="false">IF($A10="","",IFERROR(VALUE($G10),$G10))</f>
        <v/>
      </c>
      <c r="R10" s="14" t="str">
        <f aca="false">IF($A10="","",$B$5)</f>
        <v/>
      </c>
      <c r="S10" s="14" t="str">
        <f aca="true">IF($A10="","",TODAY())</f>
        <v/>
      </c>
    </row>
    <row r="11" customFormat="false" ht="15" hidden="false" customHeight="false" outlineLevel="0" collapsed="false">
      <c r="A11" s="14"/>
      <c r="B11" s="14"/>
      <c r="C11" s="14"/>
      <c r="D11" s="14"/>
      <c r="E11" s="14"/>
      <c r="F11" s="14"/>
      <c r="G11" s="14"/>
      <c r="J11" s="14" t="str">
        <f aca="false">IF($A11="","",$B$4)</f>
        <v/>
      </c>
      <c r="K11" s="14" t="str">
        <f aca="false">IF($A11="","",TRIM($A11))</f>
        <v/>
      </c>
      <c r="L11" s="14" t="str">
        <f aca="false">IF($A11="","",TRIM($B11))</f>
        <v/>
      </c>
      <c r="M11" s="14" t="str">
        <f aca="false">IF($A11="","",IFERROR(VALUE($C11),$C11))</f>
        <v/>
      </c>
      <c r="N11" s="14" t="str">
        <f aca="false">IF($A11="","",IFERROR(VALUE($D11),$D11))</f>
        <v/>
      </c>
      <c r="O11" s="14" t="str">
        <f aca="false">IF($A11="","",IFERROR(VALUE($E11),$E11))</f>
        <v/>
      </c>
      <c r="P11" s="14" t="str">
        <f aca="false">IF($A11="","",IFERROR(VALUE($F11),$F11))</f>
        <v/>
      </c>
      <c r="Q11" s="14" t="str">
        <f aca="false">IF($A11="","",IFERROR(VALUE($G11),$G11))</f>
        <v/>
      </c>
      <c r="R11" s="14" t="str">
        <f aca="false">IF($A11="","",$B$5)</f>
        <v/>
      </c>
      <c r="S11" s="14" t="str">
        <f aca="true">IF($A11="","",TODAY())</f>
        <v/>
      </c>
    </row>
    <row r="12" customFormat="false" ht="15" hidden="false" customHeight="false" outlineLevel="0" collapsed="false">
      <c r="A12" s="14"/>
      <c r="B12" s="14"/>
      <c r="C12" s="14"/>
      <c r="D12" s="14"/>
      <c r="E12" s="14"/>
      <c r="F12" s="14"/>
      <c r="G12" s="14"/>
      <c r="J12" s="14" t="str">
        <f aca="false">IF($A12="","",$B$4)</f>
        <v/>
      </c>
      <c r="K12" s="14" t="str">
        <f aca="false">IF($A12="","",TRIM($A12))</f>
        <v/>
      </c>
      <c r="L12" s="14" t="str">
        <f aca="false">IF($A12="","",TRIM($B12))</f>
        <v/>
      </c>
      <c r="M12" s="14" t="str">
        <f aca="false">IF($A12="","",IFERROR(VALUE($C12),$C12))</f>
        <v/>
      </c>
      <c r="N12" s="14" t="str">
        <f aca="false">IF($A12="","",IFERROR(VALUE($D12),$D12))</f>
        <v/>
      </c>
      <c r="O12" s="14" t="str">
        <f aca="false">IF($A12="","",IFERROR(VALUE($E12),$E12))</f>
        <v/>
      </c>
      <c r="P12" s="14" t="str">
        <f aca="false">IF($A12="","",IFERROR(VALUE($F12),$F12))</f>
        <v/>
      </c>
      <c r="Q12" s="14" t="str">
        <f aca="false">IF($A12="","",IFERROR(VALUE($G12),$G12))</f>
        <v/>
      </c>
      <c r="R12" s="14" t="str">
        <f aca="false">IF($A12="","",$B$5)</f>
        <v/>
      </c>
      <c r="S12" s="14" t="str">
        <f aca="true">IF($A12="","",TODAY())</f>
        <v/>
      </c>
    </row>
    <row r="13" customFormat="false" ht="15" hidden="false" customHeight="false" outlineLevel="0" collapsed="false">
      <c r="A13" s="14"/>
      <c r="B13" s="14"/>
      <c r="C13" s="14"/>
      <c r="D13" s="14"/>
      <c r="E13" s="14"/>
      <c r="F13" s="14"/>
      <c r="G13" s="14"/>
      <c r="J13" s="14" t="str">
        <f aca="false">IF($A13="","",$B$4)</f>
        <v/>
      </c>
      <c r="K13" s="14" t="str">
        <f aca="false">IF($A13="","",TRIM($A13))</f>
        <v/>
      </c>
      <c r="L13" s="14" t="str">
        <f aca="false">IF($A13="","",TRIM($B13))</f>
        <v/>
      </c>
      <c r="M13" s="14" t="str">
        <f aca="false">IF($A13="","",IFERROR(VALUE($C13),$C13))</f>
        <v/>
      </c>
      <c r="N13" s="14" t="str">
        <f aca="false">IF($A13="","",IFERROR(VALUE($D13),$D13))</f>
        <v/>
      </c>
      <c r="O13" s="14" t="str">
        <f aca="false">IF($A13="","",IFERROR(VALUE($E13),$E13))</f>
        <v/>
      </c>
      <c r="P13" s="14" t="str">
        <f aca="false">IF($A13="","",IFERROR(VALUE($F13),$F13))</f>
        <v/>
      </c>
      <c r="Q13" s="14" t="str">
        <f aca="false">IF($A13="","",IFERROR(VALUE($G13),$G13))</f>
        <v/>
      </c>
      <c r="R13" s="14" t="str">
        <f aca="false">IF($A13="","",$B$5)</f>
        <v/>
      </c>
      <c r="S13" s="14" t="str">
        <f aca="true">IF($A13="","",TODAY())</f>
        <v/>
      </c>
    </row>
    <row r="14" customFormat="false" ht="15" hidden="false" customHeight="false" outlineLevel="0" collapsed="false">
      <c r="A14" s="14"/>
      <c r="B14" s="14"/>
      <c r="C14" s="14"/>
      <c r="D14" s="14"/>
      <c r="E14" s="14"/>
      <c r="F14" s="14"/>
      <c r="G14" s="14"/>
      <c r="J14" s="14" t="str">
        <f aca="false">IF($A14="","",$B$4)</f>
        <v/>
      </c>
      <c r="K14" s="14" t="str">
        <f aca="false">IF($A14="","",TRIM($A14))</f>
        <v/>
      </c>
      <c r="L14" s="14" t="str">
        <f aca="false">IF($A14="","",TRIM($B14))</f>
        <v/>
      </c>
      <c r="M14" s="14" t="str">
        <f aca="false">IF($A14="","",IFERROR(VALUE($C14),$C14))</f>
        <v/>
      </c>
      <c r="N14" s="14" t="str">
        <f aca="false">IF($A14="","",IFERROR(VALUE($D14),$D14))</f>
        <v/>
      </c>
      <c r="O14" s="14" t="str">
        <f aca="false">IF($A14="","",IFERROR(VALUE($E14),$E14))</f>
        <v/>
      </c>
      <c r="P14" s="14" t="str">
        <f aca="false">IF($A14="","",IFERROR(VALUE($F14),$F14))</f>
        <v/>
      </c>
      <c r="Q14" s="14" t="str">
        <f aca="false">IF($A14="","",IFERROR(VALUE($G14),$G14))</f>
        <v/>
      </c>
      <c r="R14" s="14" t="str">
        <f aca="false">IF($A14="","",$B$5)</f>
        <v/>
      </c>
      <c r="S14" s="14" t="str">
        <f aca="true">IF($A14="","",TODAY())</f>
        <v/>
      </c>
    </row>
    <row r="15" customFormat="false" ht="15" hidden="false" customHeight="false" outlineLevel="0" collapsed="false">
      <c r="A15" s="14"/>
      <c r="B15" s="14"/>
      <c r="C15" s="14"/>
      <c r="D15" s="14"/>
      <c r="E15" s="14"/>
      <c r="F15" s="14"/>
      <c r="G15" s="14"/>
      <c r="J15" s="14" t="str">
        <f aca="false">IF($A15="","",$B$4)</f>
        <v/>
      </c>
      <c r="K15" s="14" t="str">
        <f aca="false">IF($A15="","",TRIM($A15))</f>
        <v/>
      </c>
      <c r="L15" s="14" t="str">
        <f aca="false">IF($A15="","",TRIM($B15))</f>
        <v/>
      </c>
      <c r="M15" s="14" t="str">
        <f aca="false">IF($A15="","",IFERROR(VALUE($C15),$C15))</f>
        <v/>
      </c>
      <c r="N15" s="14" t="str">
        <f aca="false">IF($A15="","",IFERROR(VALUE($D15),$D15))</f>
        <v/>
      </c>
      <c r="O15" s="14" t="str">
        <f aca="false">IF($A15="","",IFERROR(VALUE($E15),$E15))</f>
        <v/>
      </c>
      <c r="P15" s="14" t="str">
        <f aca="false">IF($A15="","",IFERROR(VALUE($F15),$F15))</f>
        <v/>
      </c>
      <c r="Q15" s="14" t="str">
        <f aca="false">IF($A15="","",IFERROR(VALUE($G15),$G15))</f>
        <v/>
      </c>
      <c r="R15" s="14" t="str">
        <f aca="false">IF($A15="","",$B$5)</f>
        <v/>
      </c>
      <c r="S15" s="14" t="str">
        <f aca="true">IF($A15="","",TODAY())</f>
        <v/>
      </c>
    </row>
    <row r="16" customFormat="false" ht="15" hidden="false" customHeight="false" outlineLevel="0" collapsed="false">
      <c r="A16" s="14"/>
      <c r="B16" s="14"/>
      <c r="C16" s="14"/>
      <c r="D16" s="14"/>
      <c r="E16" s="14"/>
      <c r="F16" s="14"/>
      <c r="G16" s="14"/>
      <c r="J16" s="14" t="str">
        <f aca="false">IF($A16="","",$B$4)</f>
        <v/>
      </c>
      <c r="K16" s="14" t="str">
        <f aca="false">IF($A16="","",TRIM($A16))</f>
        <v/>
      </c>
      <c r="L16" s="14" t="str">
        <f aca="false">IF($A16="","",TRIM($B16))</f>
        <v/>
      </c>
      <c r="M16" s="14" t="str">
        <f aca="false">IF($A16="","",IFERROR(VALUE($C16),$C16))</f>
        <v/>
      </c>
      <c r="N16" s="14" t="str">
        <f aca="false">IF($A16="","",IFERROR(VALUE($D16),$D16))</f>
        <v/>
      </c>
      <c r="O16" s="14" t="str">
        <f aca="false">IF($A16="","",IFERROR(VALUE($E16),$E16))</f>
        <v/>
      </c>
      <c r="P16" s="14" t="str">
        <f aca="false">IF($A16="","",IFERROR(VALUE($F16),$F16))</f>
        <v/>
      </c>
      <c r="Q16" s="14" t="str">
        <f aca="false">IF($A16="","",IFERROR(VALUE($G16),$G16))</f>
        <v/>
      </c>
      <c r="R16" s="14" t="str">
        <f aca="false">IF($A16="","",$B$5)</f>
        <v/>
      </c>
      <c r="S16" s="14" t="str">
        <f aca="true">IF($A16="","",TODAY())</f>
        <v/>
      </c>
    </row>
    <row r="17" customFormat="false" ht="15" hidden="false" customHeight="false" outlineLevel="0" collapsed="false">
      <c r="A17" s="14"/>
      <c r="B17" s="14"/>
      <c r="C17" s="14"/>
      <c r="D17" s="14"/>
      <c r="E17" s="14"/>
      <c r="F17" s="14"/>
      <c r="G17" s="14"/>
      <c r="J17" s="14" t="str">
        <f aca="false">IF($A17="","",$B$4)</f>
        <v/>
      </c>
      <c r="K17" s="14" t="str">
        <f aca="false">IF($A17="","",TRIM($A17))</f>
        <v/>
      </c>
      <c r="L17" s="14" t="str">
        <f aca="false">IF($A17="","",TRIM($B17))</f>
        <v/>
      </c>
      <c r="M17" s="14" t="str">
        <f aca="false">IF($A17="","",IFERROR(VALUE($C17),$C17))</f>
        <v/>
      </c>
      <c r="N17" s="14" t="str">
        <f aca="false">IF($A17="","",IFERROR(VALUE($D17),$D17))</f>
        <v/>
      </c>
      <c r="O17" s="14" t="str">
        <f aca="false">IF($A17="","",IFERROR(VALUE($E17),$E17))</f>
        <v/>
      </c>
      <c r="P17" s="14" t="str">
        <f aca="false">IF($A17="","",IFERROR(VALUE($F17),$F17))</f>
        <v/>
      </c>
      <c r="Q17" s="14" t="str">
        <f aca="false">IF($A17="","",IFERROR(VALUE($G17),$G17))</f>
        <v/>
      </c>
      <c r="R17" s="14" t="str">
        <f aca="false">IF($A17="","",$B$5)</f>
        <v/>
      </c>
      <c r="S17" s="14" t="str">
        <f aca="true">IF($A17="","",TODAY())</f>
        <v/>
      </c>
    </row>
    <row r="18" customFormat="false" ht="15" hidden="false" customHeight="false" outlineLevel="0" collapsed="false">
      <c r="A18" s="14"/>
      <c r="B18" s="14"/>
      <c r="C18" s="14"/>
      <c r="D18" s="14"/>
      <c r="E18" s="14"/>
      <c r="F18" s="14"/>
      <c r="G18" s="14"/>
      <c r="J18" s="14" t="str">
        <f aca="false">IF($A18="","",$B$4)</f>
        <v/>
      </c>
      <c r="K18" s="14" t="str">
        <f aca="false">IF($A18="","",TRIM($A18))</f>
        <v/>
      </c>
      <c r="L18" s="14" t="str">
        <f aca="false">IF($A18="","",TRIM($B18))</f>
        <v/>
      </c>
      <c r="M18" s="14" t="str">
        <f aca="false">IF($A18="","",IFERROR(VALUE($C18),$C18))</f>
        <v/>
      </c>
      <c r="N18" s="14" t="str">
        <f aca="false">IF($A18="","",IFERROR(VALUE($D18),$D18))</f>
        <v/>
      </c>
      <c r="O18" s="14" t="str">
        <f aca="false">IF($A18="","",IFERROR(VALUE($E18),$E18))</f>
        <v/>
      </c>
      <c r="P18" s="14" t="str">
        <f aca="false">IF($A18="","",IFERROR(VALUE($F18),$F18))</f>
        <v/>
      </c>
      <c r="Q18" s="14" t="str">
        <f aca="false">IF($A18="","",IFERROR(VALUE($G18),$G18))</f>
        <v/>
      </c>
      <c r="R18" s="14" t="str">
        <f aca="false">IF($A18="","",$B$5)</f>
        <v/>
      </c>
      <c r="S18" s="14" t="str">
        <f aca="true">IF($A18="","",TODAY())</f>
        <v/>
      </c>
    </row>
    <row r="19" customFormat="false" ht="15" hidden="false" customHeight="false" outlineLevel="0" collapsed="false">
      <c r="A19" s="14"/>
      <c r="B19" s="14"/>
      <c r="C19" s="14"/>
      <c r="D19" s="14"/>
      <c r="E19" s="14"/>
      <c r="F19" s="14"/>
      <c r="G19" s="14"/>
      <c r="J19" s="14" t="str">
        <f aca="false">IF($A19="","",$B$4)</f>
        <v/>
      </c>
      <c r="K19" s="14" t="str">
        <f aca="false">IF($A19="","",TRIM($A19))</f>
        <v/>
      </c>
      <c r="L19" s="14" t="str">
        <f aca="false">IF($A19="","",TRIM($B19))</f>
        <v/>
      </c>
      <c r="M19" s="14" t="str">
        <f aca="false">IF($A19="","",IFERROR(VALUE($C19),$C19))</f>
        <v/>
      </c>
      <c r="N19" s="14" t="str">
        <f aca="false">IF($A19="","",IFERROR(VALUE($D19),$D19))</f>
        <v/>
      </c>
      <c r="O19" s="14" t="str">
        <f aca="false">IF($A19="","",IFERROR(VALUE($E19),$E19))</f>
        <v/>
      </c>
      <c r="P19" s="14" t="str">
        <f aca="false">IF($A19="","",IFERROR(VALUE($F19),$F19))</f>
        <v/>
      </c>
      <c r="Q19" s="14" t="str">
        <f aca="false">IF($A19="","",IFERROR(VALUE($G19),$G19))</f>
        <v/>
      </c>
      <c r="R19" s="14" t="str">
        <f aca="false">IF($A19="","",$B$5)</f>
        <v/>
      </c>
      <c r="S19" s="14" t="str">
        <f aca="true">IF($A19="","",TODAY())</f>
        <v/>
      </c>
    </row>
    <row r="20" customFormat="false" ht="15" hidden="false" customHeight="false" outlineLevel="0" collapsed="false">
      <c r="A20" s="14"/>
      <c r="B20" s="14"/>
      <c r="C20" s="14"/>
      <c r="D20" s="14"/>
      <c r="E20" s="14"/>
      <c r="F20" s="14"/>
      <c r="G20" s="14"/>
      <c r="J20" s="14" t="str">
        <f aca="false">IF($A20="","",$B$4)</f>
        <v/>
      </c>
      <c r="K20" s="14" t="str">
        <f aca="false">IF($A20="","",TRIM($A20))</f>
        <v/>
      </c>
      <c r="L20" s="14" t="str">
        <f aca="false">IF($A20="","",TRIM($B20))</f>
        <v/>
      </c>
      <c r="M20" s="14" t="str">
        <f aca="false">IF($A20="","",IFERROR(VALUE($C20),$C20))</f>
        <v/>
      </c>
      <c r="N20" s="14" t="str">
        <f aca="false">IF($A20="","",IFERROR(VALUE($D20),$D20))</f>
        <v/>
      </c>
      <c r="O20" s="14" t="str">
        <f aca="false">IF($A20="","",IFERROR(VALUE($E20),$E20))</f>
        <v/>
      </c>
      <c r="P20" s="14" t="str">
        <f aca="false">IF($A20="","",IFERROR(VALUE($F20),$F20))</f>
        <v/>
      </c>
      <c r="Q20" s="14" t="str">
        <f aca="false">IF($A20="","",IFERROR(VALUE($G20),$G20))</f>
        <v/>
      </c>
      <c r="R20" s="14" t="str">
        <f aca="false">IF($A20="","",$B$5)</f>
        <v/>
      </c>
      <c r="S20" s="14" t="str">
        <f aca="true">IF($A20="","",TODAY())</f>
        <v/>
      </c>
    </row>
    <row r="21" customFormat="false" ht="15" hidden="false" customHeight="false" outlineLevel="0" collapsed="false">
      <c r="A21" s="14"/>
      <c r="B21" s="14"/>
      <c r="C21" s="14"/>
      <c r="D21" s="14"/>
      <c r="E21" s="14"/>
      <c r="F21" s="14"/>
      <c r="G21" s="14"/>
      <c r="J21" s="14" t="str">
        <f aca="false">IF($A21="","",$B$4)</f>
        <v/>
      </c>
      <c r="K21" s="14" t="str">
        <f aca="false">IF($A21="","",TRIM($A21))</f>
        <v/>
      </c>
      <c r="L21" s="14" t="str">
        <f aca="false">IF($A21="","",TRIM($B21))</f>
        <v/>
      </c>
      <c r="M21" s="14" t="str">
        <f aca="false">IF($A21="","",IFERROR(VALUE($C21),$C21))</f>
        <v/>
      </c>
      <c r="N21" s="14" t="str">
        <f aca="false">IF($A21="","",IFERROR(VALUE($D21),$D21))</f>
        <v/>
      </c>
      <c r="O21" s="14" t="str">
        <f aca="false">IF($A21="","",IFERROR(VALUE($E21),$E21))</f>
        <v/>
      </c>
      <c r="P21" s="14" t="str">
        <f aca="false">IF($A21="","",IFERROR(VALUE($F21),$F21))</f>
        <v/>
      </c>
      <c r="Q21" s="14" t="str">
        <f aca="false">IF($A21="","",IFERROR(VALUE($G21),$G21))</f>
        <v/>
      </c>
      <c r="R21" s="14" t="str">
        <f aca="false">IF($A21="","",$B$5)</f>
        <v/>
      </c>
      <c r="S21" s="14" t="str">
        <f aca="true">IF($A21="","",TODAY())</f>
        <v/>
      </c>
    </row>
    <row r="22" customFormat="false" ht="15" hidden="false" customHeight="false" outlineLevel="0" collapsed="false">
      <c r="A22" s="14"/>
      <c r="B22" s="14"/>
      <c r="C22" s="14"/>
      <c r="D22" s="14"/>
      <c r="E22" s="14"/>
      <c r="F22" s="14"/>
      <c r="G22" s="14"/>
      <c r="J22" s="14" t="str">
        <f aca="false">IF($A22="","",$B$4)</f>
        <v/>
      </c>
      <c r="K22" s="14" t="str">
        <f aca="false">IF($A22="","",TRIM($A22))</f>
        <v/>
      </c>
      <c r="L22" s="14" t="str">
        <f aca="false">IF($A22="","",TRIM($B22))</f>
        <v/>
      </c>
      <c r="M22" s="14" t="str">
        <f aca="false">IF($A22="","",IFERROR(VALUE($C22),$C22))</f>
        <v/>
      </c>
      <c r="N22" s="14" t="str">
        <f aca="false">IF($A22="","",IFERROR(VALUE($D22),$D22))</f>
        <v/>
      </c>
      <c r="O22" s="14" t="str">
        <f aca="false">IF($A22="","",IFERROR(VALUE($E22),$E22))</f>
        <v/>
      </c>
      <c r="P22" s="14" t="str">
        <f aca="false">IF($A22="","",IFERROR(VALUE($F22),$F22))</f>
        <v/>
      </c>
      <c r="Q22" s="14" t="str">
        <f aca="false">IF($A22="","",IFERROR(VALUE($G22),$G22))</f>
        <v/>
      </c>
      <c r="R22" s="14" t="str">
        <f aca="false">IF($A22="","",$B$5)</f>
        <v/>
      </c>
      <c r="S22" s="14" t="str">
        <f aca="true">IF($A22="","",TODAY())</f>
        <v/>
      </c>
    </row>
    <row r="23" customFormat="false" ht="15" hidden="false" customHeight="false" outlineLevel="0" collapsed="false">
      <c r="A23" s="14"/>
      <c r="B23" s="14"/>
      <c r="C23" s="14"/>
      <c r="D23" s="14"/>
      <c r="E23" s="14"/>
      <c r="F23" s="14"/>
      <c r="G23" s="14"/>
      <c r="J23" s="14" t="str">
        <f aca="false">IF($A23="","",$B$4)</f>
        <v/>
      </c>
      <c r="K23" s="14" t="str">
        <f aca="false">IF($A23="","",TRIM($A23))</f>
        <v/>
      </c>
      <c r="L23" s="14" t="str">
        <f aca="false">IF($A23="","",TRIM($B23))</f>
        <v/>
      </c>
      <c r="M23" s="14" t="str">
        <f aca="false">IF($A23="","",IFERROR(VALUE($C23),$C23))</f>
        <v/>
      </c>
      <c r="N23" s="14" t="str">
        <f aca="false">IF($A23="","",IFERROR(VALUE($D23),$D23))</f>
        <v/>
      </c>
      <c r="O23" s="14" t="str">
        <f aca="false">IF($A23="","",IFERROR(VALUE($E23),$E23))</f>
        <v/>
      </c>
      <c r="P23" s="14" t="str">
        <f aca="false">IF($A23="","",IFERROR(VALUE($F23),$F23))</f>
        <v/>
      </c>
      <c r="Q23" s="14" t="str">
        <f aca="false">IF($A23="","",IFERROR(VALUE($G23),$G23))</f>
        <v/>
      </c>
      <c r="R23" s="14" t="str">
        <f aca="false">IF($A23="","",$B$5)</f>
        <v/>
      </c>
      <c r="S23" s="14" t="str">
        <f aca="true">IF($A23="","",TODAY())</f>
        <v/>
      </c>
    </row>
    <row r="24" customFormat="false" ht="15" hidden="false" customHeight="false" outlineLevel="0" collapsed="false">
      <c r="A24" s="14"/>
      <c r="B24" s="14"/>
      <c r="C24" s="14"/>
      <c r="D24" s="14"/>
      <c r="E24" s="14"/>
      <c r="F24" s="14"/>
      <c r="G24" s="14"/>
      <c r="J24" s="14" t="str">
        <f aca="false">IF($A24="","",$B$4)</f>
        <v/>
      </c>
      <c r="K24" s="14" t="str">
        <f aca="false">IF($A24="","",TRIM($A24))</f>
        <v/>
      </c>
      <c r="L24" s="14" t="str">
        <f aca="false">IF($A24="","",TRIM($B24))</f>
        <v/>
      </c>
      <c r="M24" s="14" t="str">
        <f aca="false">IF($A24="","",IFERROR(VALUE($C24),$C24))</f>
        <v/>
      </c>
      <c r="N24" s="14" t="str">
        <f aca="false">IF($A24="","",IFERROR(VALUE($D24),$D24))</f>
        <v/>
      </c>
      <c r="O24" s="14" t="str">
        <f aca="false">IF($A24="","",IFERROR(VALUE($E24),$E24))</f>
        <v/>
      </c>
      <c r="P24" s="14" t="str">
        <f aca="false">IF($A24="","",IFERROR(VALUE($F24),$F24))</f>
        <v/>
      </c>
      <c r="Q24" s="14" t="str">
        <f aca="false">IF($A24="","",IFERROR(VALUE($G24),$G24))</f>
        <v/>
      </c>
      <c r="R24" s="14" t="str">
        <f aca="false">IF($A24="","",$B$5)</f>
        <v/>
      </c>
      <c r="S24" s="14" t="str">
        <f aca="true">IF($A24="","",TODAY())</f>
        <v/>
      </c>
    </row>
    <row r="25" customFormat="false" ht="15" hidden="false" customHeight="false" outlineLevel="0" collapsed="false">
      <c r="A25" s="14"/>
      <c r="B25" s="14"/>
      <c r="C25" s="14"/>
      <c r="D25" s="14"/>
      <c r="E25" s="14"/>
      <c r="F25" s="14"/>
      <c r="G25" s="14"/>
      <c r="J25" s="14" t="str">
        <f aca="false">IF($A25="","",$B$4)</f>
        <v/>
      </c>
      <c r="K25" s="14" t="str">
        <f aca="false">IF($A25="","",TRIM($A25))</f>
        <v/>
      </c>
      <c r="L25" s="14" t="str">
        <f aca="false">IF($A25="","",TRIM($B25))</f>
        <v/>
      </c>
      <c r="M25" s="14" t="str">
        <f aca="false">IF($A25="","",IFERROR(VALUE($C25),$C25))</f>
        <v/>
      </c>
      <c r="N25" s="14" t="str">
        <f aca="false">IF($A25="","",IFERROR(VALUE($D25),$D25))</f>
        <v/>
      </c>
      <c r="O25" s="14" t="str">
        <f aca="false">IF($A25="","",IFERROR(VALUE($E25),$E25))</f>
        <v/>
      </c>
      <c r="P25" s="14" t="str">
        <f aca="false">IF($A25="","",IFERROR(VALUE($F25),$F25))</f>
        <v/>
      </c>
      <c r="Q25" s="14" t="str">
        <f aca="false">IF($A25="","",IFERROR(VALUE($G25),$G25))</f>
        <v/>
      </c>
      <c r="R25" s="14" t="str">
        <f aca="false">IF($A25="","",$B$5)</f>
        <v/>
      </c>
      <c r="S25" s="14" t="str">
        <f aca="true">IF($A25="","",TODAY())</f>
        <v/>
      </c>
    </row>
    <row r="26" customFormat="false" ht="15" hidden="false" customHeight="false" outlineLevel="0" collapsed="false">
      <c r="A26" s="14"/>
      <c r="B26" s="14"/>
      <c r="C26" s="14"/>
      <c r="D26" s="14"/>
      <c r="E26" s="14"/>
      <c r="F26" s="14"/>
      <c r="G26" s="14"/>
      <c r="J26" s="14" t="str">
        <f aca="false">IF($A26="","",$B$4)</f>
        <v/>
      </c>
      <c r="K26" s="14" t="str">
        <f aca="false">IF($A26="","",TRIM($A26))</f>
        <v/>
      </c>
      <c r="L26" s="14" t="str">
        <f aca="false">IF($A26="","",TRIM($B26))</f>
        <v/>
      </c>
      <c r="M26" s="14" t="str">
        <f aca="false">IF($A26="","",IFERROR(VALUE($C26),$C26))</f>
        <v/>
      </c>
      <c r="N26" s="14" t="str">
        <f aca="false">IF($A26="","",IFERROR(VALUE($D26),$D26))</f>
        <v/>
      </c>
      <c r="O26" s="14" t="str">
        <f aca="false">IF($A26="","",IFERROR(VALUE($E26),$E26))</f>
        <v/>
      </c>
      <c r="P26" s="14" t="str">
        <f aca="false">IF($A26="","",IFERROR(VALUE($F26),$F26))</f>
        <v/>
      </c>
      <c r="Q26" s="14" t="str">
        <f aca="false">IF($A26="","",IFERROR(VALUE($G26),$G26))</f>
        <v/>
      </c>
      <c r="R26" s="14" t="str">
        <f aca="false">IF($A26="","",$B$5)</f>
        <v/>
      </c>
      <c r="S26" s="14" t="str">
        <f aca="true">IF($A26="","",TODAY())</f>
        <v/>
      </c>
    </row>
    <row r="27" customFormat="false" ht="15" hidden="false" customHeight="false" outlineLevel="0" collapsed="false">
      <c r="A27" s="14"/>
      <c r="B27" s="14"/>
      <c r="C27" s="14"/>
      <c r="D27" s="14"/>
      <c r="E27" s="14"/>
      <c r="F27" s="14"/>
      <c r="G27" s="14"/>
      <c r="J27" s="14" t="str">
        <f aca="false">IF($A27="","",$B$4)</f>
        <v/>
      </c>
      <c r="K27" s="14" t="str">
        <f aca="false">IF($A27="","",TRIM($A27))</f>
        <v/>
      </c>
      <c r="L27" s="14" t="str">
        <f aca="false">IF($A27="","",TRIM($B27))</f>
        <v/>
      </c>
      <c r="M27" s="14" t="str">
        <f aca="false">IF($A27="","",IFERROR(VALUE($C27),$C27))</f>
        <v/>
      </c>
      <c r="N27" s="14" t="str">
        <f aca="false">IF($A27="","",IFERROR(VALUE($D27),$D27))</f>
        <v/>
      </c>
      <c r="O27" s="14" t="str">
        <f aca="false">IF($A27="","",IFERROR(VALUE($E27),$E27))</f>
        <v/>
      </c>
      <c r="P27" s="14" t="str">
        <f aca="false">IF($A27="","",IFERROR(VALUE($F27),$F27))</f>
        <v/>
      </c>
      <c r="Q27" s="14" t="str">
        <f aca="false">IF($A27="","",IFERROR(VALUE($G27),$G27))</f>
        <v/>
      </c>
      <c r="R27" s="14" t="str">
        <f aca="false">IF($A27="","",$B$5)</f>
        <v/>
      </c>
      <c r="S27" s="14" t="str">
        <f aca="true">IF($A27="","",TODAY())</f>
        <v/>
      </c>
    </row>
    <row r="28" customFormat="false" ht="15" hidden="false" customHeight="false" outlineLevel="0" collapsed="false">
      <c r="A28" s="14"/>
      <c r="B28" s="14"/>
      <c r="C28" s="14"/>
      <c r="D28" s="14"/>
      <c r="E28" s="14"/>
      <c r="F28" s="14"/>
      <c r="G28" s="14"/>
      <c r="J28" s="14" t="str">
        <f aca="false">IF($A28="","",$B$4)</f>
        <v/>
      </c>
      <c r="K28" s="14" t="str">
        <f aca="false">IF($A28="","",TRIM($A28))</f>
        <v/>
      </c>
      <c r="L28" s="14" t="str">
        <f aca="false">IF($A28="","",TRIM($B28))</f>
        <v/>
      </c>
      <c r="M28" s="14" t="str">
        <f aca="false">IF($A28="","",IFERROR(VALUE($C28),$C28))</f>
        <v/>
      </c>
      <c r="N28" s="14" t="str">
        <f aca="false">IF($A28="","",IFERROR(VALUE($D28),$D28))</f>
        <v/>
      </c>
      <c r="O28" s="14" t="str">
        <f aca="false">IF($A28="","",IFERROR(VALUE($E28),$E28))</f>
        <v/>
      </c>
      <c r="P28" s="14" t="str">
        <f aca="false">IF($A28="","",IFERROR(VALUE($F28),$F28))</f>
        <v/>
      </c>
      <c r="Q28" s="14" t="str">
        <f aca="false">IF($A28="","",IFERROR(VALUE($G28),$G28))</f>
        <v/>
      </c>
      <c r="R28" s="14" t="str">
        <f aca="false">IF($A28="","",$B$5)</f>
        <v/>
      </c>
      <c r="S28" s="14" t="str">
        <f aca="true">IF($A28="","",TODAY())</f>
        <v/>
      </c>
    </row>
    <row r="29" customFormat="false" ht="15" hidden="false" customHeight="false" outlineLevel="0" collapsed="false">
      <c r="A29" s="14"/>
      <c r="B29" s="14"/>
      <c r="C29" s="14"/>
      <c r="D29" s="14"/>
      <c r="E29" s="14"/>
      <c r="F29" s="14"/>
      <c r="G29" s="14"/>
      <c r="J29" s="14" t="str">
        <f aca="false">IF($A29="","",$B$4)</f>
        <v/>
      </c>
      <c r="K29" s="14" t="str">
        <f aca="false">IF($A29="","",TRIM($A29))</f>
        <v/>
      </c>
      <c r="L29" s="14" t="str">
        <f aca="false">IF($A29="","",TRIM($B29))</f>
        <v/>
      </c>
      <c r="M29" s="14" t="str">
        <f aca="false">IF($A29="","",IFERROR(VALUE($C29),$C29))</f>
        <v/>
      </c>
      <c r="N29" s="14" t="str">
        <f aca="false">IF($A29="","",IFERROR(VALUE($D29),$D29))</f>
        <v/>
      </c>
      <c r="O29" s="14" t="str">
        <f aca="false">IF($A29="","",IFERROR(VALUE($E29),$E29))</f>
        <v/>
      </c>
      <c r="P29" s="14" t="str">
        <f aca="false">IF($A29="","",IFERROR(VALUE($F29),$F29))</f>
        <v/>
      </c>
      <c r="Q29" s="14" t="str">
        <f aca="false">IF($A29="","",IFERROR(VALUE($G29),$G29))</f>
        <v/>
      </c>
      <c r="R29" s="14" t="str">
        <f aca="false">IF($A29="","",$B$5)</f>
        <v/>
      </c>
      <c r="S29" s="14" t="str">
        <f aca="true">IF($A29="","",TODAY())</f>
        <v/>
      </c>
    </row>
    <row r="30" customFormat="false" ht="15" hidden="false" customHeight="false" outlineLevel="0" collapsed="false">
      <c r="A30" s="14"/>
      <c r="B30" s="14"/>
      <c r="C30" s="14"/>
      <c r="D30" s="14"/>
      <c r="E30" s="14"/>
      <c r="F30" s="14"/>
      <c r="G30" s="14"/>
      <c r="J30" s="14" t="str">
        <f aca="false">IF($A30="","",$B$4)</f>
        <v/>
      </c>
      <c r="K30" s="14" t="str">
        <f aca="false">IF($A30="","",TRIM($A30))</f>
        <v/>
      </c>
      <c r="L30" s="14" t="str">
        <f aca="false">IF($A30="","",TRIM($B30))</f>
        <v/>
      </c>
      <c r="M30" s="14" t="str">
        <f aca="false">IF($A30="","",IFERROR(VALUE($C30),$C30))</f>
        <v/>
      </c>
      <c r="N30" s="14" t="str">
        <f aca="false">IF($A30="","",IFERROR(VALUE($D30),$D30))</f>
        <v/>
      </c>
      <c r="O30" s="14" t="str">
        <f aca="false">IF($A30="","",IFERROR(VALUE($E30),$E30))</f>
        <v/>
      </c>
      <c r="P30" s="14" t="str">
        <f aca="false">IF($A30="","",IFERROR(VALUE($F30),$F30))</f>
        <v/>
      </c>
      <c r="Q30" s="14" t="str">
        <f aca="false">IF($A30="","",IFERROR(VALUE($G30),$G30))</f>
        <v/>
      </c>
      <c r="R30" s="14" t="str">
        <f aca="false">IF($A30="","",$B$5)</f>
        <v/>
      </c>
      <c r="S30" s="14" t="str">
        <f aca="true">IF($A30="","",TODAY())</f>
        <v/>
      </c>
    </row>
    <row r="31" customFormat="false" ht="15" hidden="false" customHeight="false" outlineLevel="0" collapsed="false">
      <c r="A31" s="14"/>
      <c r="B31" s="14"/>
      <c r="C31" s="14"/>
      <c r="D31" s="14"/>
      <c r="E31" s="14"/>
      <c r="F31" s="14"/>
      <c r="G31" s="14"/>
      <c r="J31" s="14" t="str">
        <f aca="false">IF($A31="","",$B$4)</f>
        <v/>
      </c>
      <c r="K31" s="14" t="str">
        <f aca="false">IF($A31="","",TRIM($A31))</f>
        <v/>
      </c>
      <c r="L31" s="14" t="str">
        <f aca="false">IF($A31="","",TRIM($B31))</f>
        <v/>
      </c>
      <c r="M31" s="14" t="str">
        <f aca="false">IF($A31="","",IFERROR(VALUE($C31),$C31))</f>
        <v/>
      </c>
      <c r="N31" s="14" t="str">
        <f aca="false">IF($A31="","",IFERROR(VALUE($D31),$D31))</f>
        <v/>
      </c>
      <c r="O31" s="14" t="str">
        <f aca="false">IF($A31="","",IFERROR(VALUE($E31),$E31))</f>
        <v/>
      </c>
      <c r="P31" s="14" t="str">
        <f aca="false">IF($A31="","",IFERROR(VALUE($F31),$F31))</f>
        <v/>
      </c>
      <c r="Q31" s="14" t="str">
        <f aca="false">IF($A31="","",IFERROR(VALUE($G31),$G31))</f>
        <v/>
      </c>
      <c r="R31" s="14" t="str">
        <f aca="false">IF($A31="","",$B$5)</f>
        <v/>
      </c>
      <c r="S31" s="14" t="str">
        <f aca="true">IF($A31="","",TODAY())</f>
        <v/>
      </c>
    </row>
    <row r="32" customFormat="false" ht="15" hidden="false" customHeight="false" outlineLevel="0" collapsed="false">
      <c r="A32" s="14"/>
      <c r="B32" s="14"/>
      <c r="C32" s="14"/>
      <c r="D32" s="14"/>
      <c r="E32" s="14"/>
      <c r="F32" s="14"/>
      <c r="G32" s="14"/>
      <c r="J32" s="14" t="str">
        <f aca="false">IF($A32="","",$B$4)</f>
        <v/>
      </c>
      <c r="K32" s="14" t="str">
        <f aca="false">IF($A32="","",TRIM($A32))</f>
        <v/>
      </c>
      <c r="L32" s="14" t="str">
        <f aca="false">IF($A32="","",TRIM($B32))</f>
        <v/>
      </c>
      <c r="M32" s="14" t="str">
        <f aca="false">IF($A32="","",IFERROR(VALUE($C32),$C32))</f>
        <v/>
      </c>
      <c r="N32" s="14" t="str">
        <f aca="false">IF($A32="","",IFERROR(VALUE($D32),$D32))</f>
        <v/>
      </c>
      <c r="O32" s="14" t="str">
        <f aca="false">IF($A32="","",IFERROR(VALUE($E32),$E32))</f>
        <v/>
      </c>
      <c r="P32" s="14" t="str">
        <f aca="false">IF($A32="","",IFERROR(VALUE($F32),$F32))</f>
        <v/>
      </c>
      <c r="Q32" s="14" t="str">
        <f aca="false">IF($A32="","",IFERROR(VALUE($G32),$G32))</f>
        <v/>
      </c>
      <c r="R32" s="14" t="str">
        <f aca="false">IF($A32="","",$B$5)</f>
        <v/>
      </c>
      <c r="S32" s="14" t="str">
        <f aca="true">IF($A32="","",TODAY())</f>
        <v/>
      </c>
    </row>
    <row r="33" customFormat="false" ht="15" hidden="false" customHeight="false" outlineLevel="0" collapsed="false">
      <c r="A33" s="14"/>
      <c r="B33" s="14"/>
      <c r="C33" s="14"/>
      <c r="D33" s="14"/>
      <c r="E33" s="14"/>
      <c r="F33" s="14"/>
      <c r="G33" s="14"/>
      <c r="J33" s="14" t="str">
        <f aca="false">IF($A33="","",$B$4)</f>
        <v/>
      </c>
      <c r="K33" s="14" t="str">
        <f aca="false">IF($A33="","",TRIM($A33))</f>
        <v/>
      </c>
      <c r="L33" s="14" t="str">
        <f aca="false">IF($A33="","",TRIM($B33))</f>
        <v/>
      </c>
      <c r="M33" s="14" t="str">
        <f aca="false">IF($A33="","",IFERROR(VALUE($C33),$C33))</f>
        <v/>
      </c>
      <c r="N33" s="14" t="str">
        <f aca="false">IF($A33="","",IFERROR(VALUE($D33),$D33))</f>
        <v/>
      </c>
      <c r="O33" s="14" t="str">
        <f aca="false">IF($A33="","",IFERROR(VALUE($E33),$E33))</f>
        <v/>
      </c>
      <c r="P33" s="14" t="str">
        <f aca="false">IF($A33="","",IFERROR(VALUE($F33),$F33))</f>
        <v/>
      </c>
      <c r="Q33" s="14" t="str">
        <f aca="false">IF($A33="","",IFERROR(VALUE($G33),$G33))</f>
        <v/>
      </c>
      <c r="R33" s="14" t="str">
        <f aca="false">IF($A33="","",$B$5)</f>
        <v/>
      </c>
      <c r="S33" s="14" t="str">
        <f aca="true">IF($A33="","",TODAY())</f>
        <v/>
      </c>
    </row>
    <row r="34" customFormat="false" ht="15" hidden="false" customHeight="false" outlineLevel="0" collapsed="false">
      <c r="A34" s="14"/>
      <c r="B34" s="14"/>
      <c r="C34" s="14"/>
      <c r="D34" s="14"/>
      <c r="E34" s="14"/>
      <c r="F34" s="14"/>
      <c r="G34" s="14"/>
      <c r="J34" s="14" t="str">
        <f aca="false">IF($A34="","",$B$4)</f>
        <v/>
      </c>
      <c r="K34" s="14" t="str">
        <f aca="false">IF($A34="","",TRIM($A34))</f>
        <v/>
      </c>
      <c r="L34" s="14" t="str">
        <f aca="false">IF($A34="","",TRIM($B34))</f>
        <v/>
      </c>
      <c r="M34" s="14" t="str">
        <f aca="false">IF($A34="","",IFERROR(VALUE($C34),$C34))</f>
        <v/>
      </c>
      <c r="N34" s="14" t="str">
        <f aca="false">IF($A34="","",IFERROR(VALUE($D34),$D34))</f>
        <v/>
      </c>
      <c r="O34" s="14" t="str">
        <f aca="false">IF($A34="","",IFERROR(VALUE($E34),$E34))</f>
        <v/>
      </c>
      <c r="P34" s="14" t="str">
        <f aca="false">IF($A34="","",IFERROR(VALUE($F34),$F34))</f>
        <v/>
      </c>
      <c r="Q34" s="14" t="str">
        <f aca="false">IF($A34="","",IFERROR(VALUE($G34),$G34))</f>
        <v/>
      </c>
      <c r="R34" s="14" t="str">
        <f aca="false">IF($A34="","",$B$5)</f>
        <v/>
      </c>
      <c r="S34" s="14" t="str">
        <f aca="true">IF($A34="","",TODAY())</f>
        <v/>
      </c>
    </row>
    <row r="35" customFormat="false" ht="15" hidden="false" customHeight="false" outlineLevel="0" collapsed="false">
      <c r="A35" s="14"/>
      <c r="B35" s="14"/>
      <c r="C35" s="14"/>
      <c r="D35" s="14"/>
      <c r="E35" s="14"/>
      <c r="F35" s="14"/>
      <c r="G35" s="14"/>
      <c r="J35" s="14" t="str">
        <f aca="false">IF($A35="","",$B$4)</f>
        <v/>
      </c>
      <c r="K35" s="14" t="str">
        <f aca="false">IF($A35="","",TRIM($A35))</f>
        <v/>
      </c>
      <c r="L35" s="14" t="str">
        <f aca="false">IF($A35="","",TRIM($B35))</f>
        <v/>
      </c>
      <c r="M35" s="14" t="str">
        <f aca="false">IF($A35="","",IFERROR(VALUE($C35),$C35))</f>
        <v/>
      </c>
      <c r="N35" s="14" t="str">
        <f aca="false">IF($A35="","",IFERROR(VALUE($D35),$D35))</f>
        <v/>
      </c>
      <c r="O35" s="14" t="str">
        <f aca="false">IF($A35="","",IFERROR(VALUE($E35),$E35))</f>
        <v/>
      </c>
      <c r="P35" s="14" t="str">
        <f aca="false">IF($A35="","",IFERROR(VALUE($F35),$F35))</f>
        <v/>
      </c>
      <c r="Q35" s="14" t="str">
        <f aca="false">IF($A35="","",IFERROR(VALUE($G35),$G35))</f>
        <v/>
      </c>
      <c r="R35" s="14" t="str">
        <f aca="false">IF($A35="","",$B$5)</f>
        <v/>
      </c>
      <c r="S35" s="14" t="str">
        <f aca="true">IF($A35="","",TODAY())</f>
        <v/>
      </c>
    </row>
    <row r="36" customFormat="false" ht="15" hidden="false" customHeight="false" outlineLevel="0" collapsed="false">
      <c r="A36" s="14"/>
      <c r="B36" s="14"/>
      <c r="C36" s="14"/>
      <c r="D36" s="14"/>
      <c r="E36" s="14"/>
      <c r="F36" s="14"/>
      <c r="G36" s="14"/>
      <c r="J36" s="14" t="str">
        <f aca="false">IF($A36="","",$B$4)</f>
        <v/>
      </c>
      <c r="K36" s="14" t="str">
        <f aca="false">IF($A36="","",TRIM($A36))</f>
        <v/>
      </c>
      <c r="L36" s="14" t="str">
        <f aca="false">IF($A36="","",TRIM($B36))</f>
        <v/>
      </c>
      <c r="M36" s="14" t="str">
        <f aca="false">IF($A36="","",IFERROR(VALUE($C36),$C36))</f>
        <v/>
      </c>
      <c r="N36" s="14" t="str">
        <f aca="false">IF($A36="","",IFERROR(VALUE($D36),$D36))</f>
        <v/>
      </c>
      <c r="O36" s="14" t="str">
        <f aca="false">IF($A36="","",IFERROR(VALUE($E36),$E36))</f>
        <v/>
      </c>
      <c r="P36" s="14" t="str">
        <f aca="false">IF($A36="","",IFERROR(VALUE($F36),$F36))</f>
        <v/>
      </c>
      <c r="Q36" s="14" t="str">
        <f aca="false">IF($A36="","",IFERROR(VALUE($G36),$G36))</f>
        <v/>
      </c>
      <c r="R36" s="14" t="str">
        <f aca="false">IF($A36="","",$B$5)</f>
        <v/>
      </c>
      <c r="S36" s="14" t="str">
        <f aca="true">IF($A36="","",TODAY())</f>
        <v/>
      </c>
    </row>
    <row r="37" customFormat="false" ht="15" hidden="false" customHeight="false" outlineLevel="0" collapsed="false">
      <c r="A37" s="14"/>
      <c r="B37" s="14"/>
      <c r="C37" s="14"/>
      <c r="D37" s="14"/>
      <c r="E37" s="14"/>
      <c r="F37" s="14"/>
      <c r="G37" s="14"/>
      <c r="J37" s="14" t="str">
        <f aca="false">IF($A37="","",$B$4)</f>
        <v/>
      </c>
      <c r="K37" s="14" t="str">
        <f aca="false">IF($A37="","",TRIM($A37))</f>
        <v/>
      </c>
      <c r="L37" s="14" t="str">
        <f aca="false">IF($A37="","",TRIM($B37))</f>
        <v/>
      </c>
      <c r="M37" s="14" t="str">
        <f aca="false">IF($A37="","",IFERROR(VALUE($C37),$C37))</f>
        <v/>
      </c>
      <c r="N37" s="14" t="str">
        <f aca="false">IF($A37="","",IFERROR(VALUE($D37),$D37))</f>
        <v/>
      </c>
      <c r="O37" s="14" t="str">
        <f aca="false">IF($A37="","",IFERROR(VALUE($E37),$E37))</f>
        <v/>
      </c>
      <c r="P37" s="14" t="str">
        <f aca="false">IF($A37="","",IFERROR(VALUE($F37),$F37))</f>
        <v/>
      </c>
      <c r="Q37" s="14" t="str">
        <f aca="false">IF($A37="","",IFERROR(VALUE($G37),$G37))</f>
        <v/>
      </c>
      <c r="R37" s="14" t="str">
        <f aca="false">IF($A37="","",$B$5)</f>
        <v/>
      </c>
      <c r="S37" s="14" t="str">
        <f aca="true">IF($A37="","",TODAY())</f>
        <v/>
      </c>
    </row>
    <row r="38" customFormat="false" ht="15" hidden="false" customHeight="false" outlineLevel="0" collapsed="false">
      <c r="A38" s="14"/>
      <c r="B38" s="14"/>
      <c r="C38" s="14"/>
      <c r="D38" s="14"/>
      <c r="E38" s="14"/>
      <c r="F38" s="14"/>
      <c r="G38" s="14"/>
      <c r="J38" s="14" t="str">
        <f aca="false">IF($A38="","",$B$4)</f>
        <v/>
      </c>
      <c r="K38" s="14" t="str">
        <f aca="false">IF($A38="","",TRIM($A38))</f>
        <v/>
      </c>
      <c r="L38" s="14" t="str">
        <f aca="false">IF($A38="","",TRIM($B38))</f>
        <v/>
      </c>
      <c r="M38" s="14" t="str">
        <f aca="false">IF($A38="","",IFERROR(VALUE($C38),$C38))</f>
        <v/>
      </c>
      <c r="N38" s="14" t="str">
        <f aca="false">IF($A38="","",IFERROR(VALUE($D38),$D38))</f>
        <v/>
      </c>
      <c r="O38" s="14" t="str">
        <f aca="false">IF($A38="","",IFERROR(VALUE($E38),$E38))</f>
        <v/>
      </c>
      <c r="P38" s="14" t="str">
        <f aca="false">IF($A38="","",IFERROR(VALUE($F38),$F38))</f>
        <v/>
      </c>
      <c r="Q38" s="14" t="str">
        <f aca="false">IF($A38="","",IFERROR(VALUE($G38),$G38))</f>
        <v/>
      </c>
      <c r="R38" s="14" t="str">
        <f aca="false">IF($A38="","",$B$5)</f>
        <v/>
      </c>
      <c r="S38" s="14" t="str">
        <f aca="true">IF($A38="","",TODAY())</f>
        <v/>
      </c>
    </row>
    <row r="39" customFormat="false" ht="15" hidden="false" customHeight="false" outlineLevel="0" collapsed="false">
      <c r="A39" s="14"/>
      <c r="B39" s="14"/>
      <c r="C39" s="14"/>
      <c r="D39" s="14"/>
      <c r="E39" s="14"/>
      <c r="F39" s="14"/>
      <c r="G39" s="14"/>
      <c r="J39" s="14" t="str">
        <f aca="false">IF($A39="","",$B$4)</f>
        <v/>
      </c>
      <c r="K39" s="14" t="str">
        <f aca="false">IF($A39="","",TRIM($A39))</f>
        <v/>
      </c>
      <c r="L39" s="14" t="str">
        <f aca="false">IF($A39="","",TRIM($B39))</f>
        <v/>
      </c>
      <c r="M39" s="14" t="str">
        <f aca="false">IF($A39="","",IFERROR(VALUE($C39),$C39))</f>
        <v/>
      </c>
      <c r="N39" s="14" t="str">
        <f aca="false">IF($A39="","",IFERROR(VALUE($D39),$D39))</f>
        <v/>
      </c>
      <c r="O39" s="14" t="str">
        <f aca="false">IF($A39="","",IFERROR(VALUE($E39),$E39))</f>
        <v/>
      </c>
      <c r="P39" s="14" t="str">
        <f aca="false">IF($A39="","",IFERROR(VALUE($F39),$F39))</f>
        <v/>
      </c>
      <c r="Q39" s="14" t="str">
        <f aca="false">IF($A39="","",IFERROR(VALUE($G39),$G39))</f>
        <v/>
      </c>
      <c r="R39" s="14" t="str">
        <f aca="false">IF($A39="","",$B$5)</f>
        <v/>
      </c>
      <c r="S39" s="14" t="str">
        <f aca="true">IF($A39="","",TODAY())</f>
        <v/>
      </c>
    </row>
    <row r="40" customFormat="false" ht="15" hidden="false" customHeight="false" outlineLevel="0" collapsed="false">
      <c r="A40" s="14"/>
      <c r="B40" s="14"/>
      <c r="C40" s="14"/>
      <c r="D40" s="14"/>
      <c r="E40" s="14"/>
      <c r="F40" s="14"/>
      <c r="G40" s="14"/>
      <c r="J40" s="14" t="str">
        <f aca="false">IF($A40="","",$B$4)</f>
        <v/>
      </c>
      <c r="K40" s="14" t="str">
        <f aca="false">IF($A40="","",TRIM($A40))</f>
        <v/>
      </c>
      <c r="L40" s="14" t="str">
        <f aca="false">IF($A40="","",TRIM($B40))</f>
        <v/>
      </c>
      <c r="M40" s="14" t="str">
        <f aca="false">IF($A40="","",IFERROR(VALUE($C40),$C40))</f>
        <v/>
      </c>
      <c r="N40" s="14" t="str">
        <f aca="false">IF($A40="","",IFERROR(VALUE($D40),$D40))</f>
        <v/>
      </c>
      <c r="O40" s="14" t="str">
        <f aca="false">IF($A40="","",IFERROR(VALUE($E40),$E40))</f>
        <v/>
      </c>
      <c r="P40" s="14" t="str">
        <f aca="false">IF($A40="","",IFERROR(VALUE($F40),$F40))</f>
        <v/>
      </c>
      <c r="Q40" s="14" t="str">
        <f aca="false">IF($A40="","",IFERROR(VALUE($G40),$G40))</f>
        <v/>
      </c>
      <c r="R40" s="14" t="str">
        <f aca="false">IF($A40="","",$B$5)</f>
        <v/>
      </c>
      <c r="S40" s="14" t="str">
        <f aca="true">IF($A40="","",TODAY())</f>
        <v/>
      </c>
    </row>
    <row r="41" customFormat="false" ht="15" hidden="false" customHeight="false" outlineLevel="0" collapsed="false">
      <c r="A41" s="14"/>
      <c r="B41" s="14"/>
      <c r="C41" s="14"/>
      <c r="D41" s="14"/>
      <c r="E41" s="14"/>
      <c r="F41" s="14"/>
      <c r="G41" s="14"/>
      <c r="J41" s="14" t="str">
        <f aca="false">IF($A41="","",$B$4)</f>
        <v/>
      </c>
      <c r="K41" s="14" t="str">
        <f aca="false">IF($A41="","",TRIM($A41))</f>
        <v/>
      </c>
      <c r="L41" s="14" t="str">
        <f aca="false">IF($A41="","",TRIM($B41))</f>
        <v/>
      </c>
      <c r="M41" s="14" t="str">
        <f aca="false">IF($A41="","",IFERROR(VALUE($C41),$C41))</f>
        <v/>
      </c>
      <c r="N41" s="14" t="str">
        <f aca="false">IF($A41="","",IFERROR(VALUE($D41),$D41))</f>
        <v/>
      </c>
      <c r="O41" s="14" t="str">
        <f aca="false">IF($A41="","",IFERROR(VALUE($E41),$E41))</f>
        <v/>
      </c>
      <c r="P41" s="14" t="str">
        <f aca="false">IF($A41="","",IFERROR(VALUE($F41),$F41))</f>
        <v/>
      </c>
      <c r="Q41" s="14" t="str">
        <f aca="false">IF($A41="","",IFERROR(VALUE($G41),$G41))</f>
        <v/>
      </c>
      <c r="R41" s="14" t="str">
        <f aca="false">IF($A41="","",$B$5)</f>
        <v/>
      </c>
      <c r="S41" s="14" t="str">
        <f aca="true">IF($A41="","",TODAY())</f>
        <v/>
      </c>
    </row>
    <row r="42" customFormat="false" ht="15" hidden="false" customHeight="false" outlineLevel="0" collapsed="false">
      <c r="A42" s="14"/>
      <c r="B42" s="14"/>
      <c r="C42" s="14"/>
      <c r="D42" s="14"/>
      <c r="E42" s="14"/>
      <c r="F42" s="14"/>
      <c r="G42" s="14"/>
      <c r="J42" s="14" t="str">
        <f aca="false">IF($A42="","",$B$4)</f>
        <v/>
      </c>
      <c r="K42" s="14" t="str">
        <f aca="false">IF($A42="","",TRIM($A42))</f>
        <v/>
      </c>
      <c r="L42" s="14" t="str">
        <f aca="false">IF($A42="","",TRIM($B42))</f>
        <v/>
      </c>
      <c r="M42" s="14" t="str">
        <f aca="false">IF($A42="","",IFERROR(VALUE($C42),$C42))</f>
        <v/>
      </c>
      <c r="N42" s="14" t="str">
        <f aca="false">IF($A42="","",IFERROR(VALUE($D42),$D42))</f>
        <v/>
      </c>
      <c r="O42" s="14" t="str">
        <f aca="false">IF($A42="","",IFERROR(VALUE($E42),$E42))</f>
        <v/>
      </c>
      <c r="P42" s="14" t="str">
        <f aca="false">IF($A42="","",IFERROR(VALUE($F42),$F42))</f>
        <v/>
      </c>
      <c r="Q42" s="14" t="str">
        <f aca="false">IF($A42="","",IFERROR(VALUE($G42),$G42))</f>
        <v/>
      </c>
      <c r="R42" s="14" t="str">
        <f aca="false">IF($A42="","",$B$5)</f>
        <v/>
      </c>
      <c r="S42" s="14" t="str">
        <f aca="true">IF($A42="","",TODAY())</f>
        <v/>
      </c>
    </row>
    <row r="43" customFormat="false" ht="15" hidden="false" customHeight="false" outlineLevel="0" collapsed="false">
      <c r="A43" s="14"/>
      <c r="B43" s="14"/>
      <c r="C43" s="14"/>
      <c r="D43" s="14"/>
      <c r="E43" s="14"/>
      <c r="F43" s="14"/>
      <c r="G43" s="14"/>
      <c r="J43" s="14" t="str">
        <f aca="false">IF($A43="","",$B$4)</f>
        <v/>
      </c>
      <c r="K43" s="14" t="str">
        <f aca="false">IF($A43="","",TRIM($A43))</f>
        <v/>
      </c>
      <c r="L43" s="14" t="str">
        <f aca="false">IF($A43="","",TRIM($B43))</f>
        <v/>
      </c>
      <c r="M43" s="14" t="str">
        <f aca="false">IF($A43="","",IFERROR(VALUE($C43),$C43))</f>
        <v/>
      </c>
      <c r="N43" s="14" t="str">
        <f aca="false">IF($A43="","",IFERROR(VALUE($D43),$D43))</f>
        <v/>
      </c>
      <c r="O43" s="14" t="str">
        <f aca="false">IF($A43="","",IFERROR(VALUE($E43),$E43))</f>
        <v/>
      </c>
      <c r="P43" s="14" t="str">
        <f aca="false">IF($A43="","",IFERROR(VALUE($F43),$F43))</f>
        <v/>
      </c>
      <c r="Q43" s="14" t="str">
        <f aca="false">IF($A43="","",IFERROR(VALUE($G43),$G43))</f>
        <v/>
      </c>
      <c r="R43" s="14" t="str">
        <f aca="false">IF($A43="","",$B$5)</f>
        <v/>
      </c>
      <c r="S43" s="14" t="str">
        <f aca="true">IF($A43="","",TODAY())</f>
        <v/>
      </c>
    </row>
    <row r="44" customFormat="false" ht="15" hidden="false" customHeight="false" outlineLevel="0" collapsed="false">
      <c r="A44" s="14"/>
      <c r="B44" s="14"/>
      <c r="C44" s="14"/>
      <c r="D44" s="14"/>
      <c r="E44" s="14"/>
      <c r="F44" s="14"/>
      <c r="G44" s="14"/>
      <c r="J44" s="14" t="str">
        <f aca="false">IF($A44="","",$B$4)</f>
        <v/>
      </c>
      <c r="K44" s="14" t="str">
        <f aca="false">IF($A44="","",TRIM($A44))</f>
        <v/>
      </c>
      <c r="L44" s="14" t="str">
        <f aca="false">IF($A44="","",TRIM($B44))</f>
        <v/>
      </c>
      <c r="M44" s="14" t="str">
        <f aca="false">IF($A44="","",IFERROR(VALUE($C44),$C44))</f>
        <v/>
      </c>
      <c r="N44" s="14" t="str">
        <f aca="false">IF($A44="","",IFERROR(VALUE($D44),$D44))</f>
        <v/>
      </c>
      <c r="O44" s="14" t="str">
        <f aca="false">IF($A44="","",IFERROR(VALUE($E44),$E44))</f>
        <v/>
      </c>
      <c r="P44" s="14" t="str">
        <f aca="false">IF($A44="","",IFERROR(VALUE($F44),$F44))</f>
        <v/>
      </c>
      <c r="Q44" s="14" t="str">
        <f aca="false">IF($A44="","",IFERROR(VALUE($G44),$G44))</f>
        <v/>
      </c>
      <c r="R44" s="14" t="str">
        <f aca="false">IF($A44="","",$B$5)</f>
        <v/>
      </c>
      <c r="S44" s="14" t="str">
        <f aca="true">IF($A44="","",TODAY())</f>
        <v/>
      </c>
    </row>
    <row r="45" customFormat="false" ht="15" hidden="false" customHeight="false" outlineLevel="0" collapsed="false">
      <c r="A45" s="14"/>
      <c r="B45" s="14"/>
      <c r="C45" s="14"/>
      <c r="D45" s="14"/>
      <c r="E45" s="14"/>
      <c r="F45" s="14"/>
      <c r="G45" s="14"/>
      <c r="J45" s="14" t="str">
        <f aca="false">IF($A45="","",$B$4)</f>
        <v/>
      </c>
      <c r="K45" s="14" t="str">
        <f aca="false">IF($A45="","",TRIM($A45))</f>
        <v/>
      </c>
      <c r="L45" s="14" t="str">
        <f aca="false">IF($A45="","",TRIM($B45))</f>
        <v/>
      </c>
      <c r="M45" s="14" t="str">
        <f aca="false">IF($A45="","",IFERROR(VALUE($C45),$C45))</f>
        <v/>
      </c>
      <c r="N45" s="14" t="str">
        <f aca="false">IF($A45="","",IFERROR(VALUE($D45),$D45))</f>
        <v/>
      </c>
      <c r="O45" s="14" t="str">
        <f aca="false">IF($A45="","",IFERROR(VALUE($E45),$E45))</f>
        <v/>
      </c>
      <c r="P45" s="14" t="str">
        <f aca="false">IF($A45="","",IFERROR(VALUE($F45),$F45))</f>
        <v/>
      </c>
      <c r="Q45" s="14" t="str">
        <f aca="false">IF($A45="","",IFERROR(VALUE($G45),$G45))</f>
        <v/>
      </c>
      <c r="R45" s="14" t="str">
        <f aca="false">IF($A45="","",$B$5)</f>
        <v/>
      </c>
      <c r="S45" s="14" t="str">
        <f aca="true">IF($A45="","",TODAY())</f>
        <v/>
      </c>
    </row>
    <row r="46" customFormat="false" ht="15" hidden="false" customHeight="false" outlineLevel="0" collapsed="false">
      <c r="A46" s="14"/>
      <c r="B46" s="14"/>
      <c r="C46" s="14"/>
      <c r="D46" s="14"/>
      <c r="E46" s="14"/>
      <c r="F46" s="14"/>
      <c r="G46" s="14"/>
      <c r="J46" s="14" t="str">
        <f aca="false">IF($A46="","",$B$4)</f>
        <v/>
      </c>
      <c r="K46" s="14" t="str">
        <f aca="false">IF($A46="","",TRIM($A46))</f>
        <v/>
      </c>
      <c r="L46" s="14" t="str">
        <f aca="false">IF($A46="","",TRIM($B46))</f>
        <v/>
      </c>
      <c r="M46" s="14" t="str">
        <f aca="false">IF($A46="","",IFERROR(VALUE($C46),$C46))</f>
        <v/>
      </c>
      <c r="N46" s="14" t="str">
        <f aca="false">IF($A46="","",IFERROR(VALUE($D46),$D46))</f>
        <v/>
      </c>
      <c r="O46" s="14" t="str">
        <f aca="false">IF($A46="","",IFERROR(VALUE($E46),$E46))</f>
        <v/>
      </c>
      <c r="P46" s="14" t="str">
        <f aca="false">IF($A46="","",IFERROR(VALUE($F46),$F46))</f>
        <v/>
      </c>
      <c r="Q46" s="14" t="str">
        <f aca="false">IF($A46="","",IFERROR(VALUE($G46),$G46))</f>
        <v/>
      </c>
      <c r="R46" s="14" t="str">
        <f aca="false">IF($A46="","",$B$5)</f>
        <v/>
      </c>
      <c r="S46" s="14" t="str">
        <f aca="true">IF($A46="","",TODAY())</f>
        <v/>
      </c>
    </row>
    <row r="47" customFormat="false" ht="15" hidden="false" customHeight="false" outlineLevel="0" collapsed="false">
      <c r="A47" s="14"/>
      <c r="B47" s="14"/>
      <c r="C47" s="14"/>
      <c r="D47" s="14"/>
      <c r="E47" s="14"/>
      <c r="F47" s="14"/>
      <c r="G47" s="14"/>
      <c r="J47" s="14" t="str">
        <f aca="false">IF($A47="","",$B$4)</f>
        <v/>
      </c>
      <c r="K47" s="14" t="str">
        <f aca="false">IF($A47="","",TRIM($A47))</f>
        <v/>
      </c>
      <c r="L47" s="14" t="str">
        <f aca="false">IF($A47="","",TRIM($B47))</f>
        <v/>
      </c>
      <c r="M47" s="14" t="str">
        <f aca="false">IF($A47="","",IFERROR(VALUE($C47),$C47))</f>
        <v/>
      </c>
      <c r="N47" s="14" t="str">
        <f aca="false">IF($A47="","",IFERROR(VALUE($D47),$D47))</f>
        <v/>
      </c>
      <c r="O47" s="14" t="str">
        <f aca="false">IF($A47="","",IFERROR(VALUE($E47),$E47))</f>
        <v/>
      </c>
      <c r="P47" s="14" t="str">
        <f aca="false">IF($A47="","",IFERROR(VALUE($F47),$F47))</f>
        <v/>
      </c>
      <c r="Q47" s="14" t="str">
        <f aca="false">IF($A47="","",IFERROR(VALUE($G47),$G47))</f>
        <v/>
      </c>
      <c r="R47" s="14" t="str">
        <f aca="false">IF($A47="","",$B$5)</f>
        <v/>
      </c>
      <c r="S47" s="14" t="str">
        <f aca="true">IF($A47="","",TODAY())</f>
        <v/>
      </c>
    </row>
    <row r="48" customFormat="false" ht="15" hidden="false" customHeight="false" outlineLevel="0" collapsed="false">
      <c r="A48" s="14"/>
      <c r="B48" s="14"/>
      <c r="C48" s="14"/>
      <c r="D48" s="14"/>
      <c r="E48" s="14"/>
      <c r="F48" s="14"/>
      <c r="G48" s="14"/>
      <c r="J48" s="14" t="str">
        <f aca="false">IF($A48="","",$B$4)</f>
        <v/>
      </c>
      <c r="K48" s="14" t="str">
        <f aca="false">IF($A48="","",TRIM($A48))</f>
        <v/>
      </c>
      <c r="L48" s="14" t="str">
        <f aca="false">IF($A48="","",TRIM($B48))</f>
        <v/>
      </c>
      <c r="M48" s="14" t="str">
        <f aca="false">IF($A48="","",IFERROR(VALUE($C48),$C48))</f>
        <v/>
      </c>
      <c r="N48" s="14" t="str">
        <f aca="false">IF($A48="","",IFERROR(VALUE($D48),$D48))</f>
        <v/>
      </c>
      <c r="O48" s="14" t="str">
        <f aca="false">IF($A48="","",IFERROR(VALUE($E48),$E48))</f>
        <v/>
      </c>
      <c r="P48" s="14" t="str">
        <f aca="false">IF($A48="","",IFERROR(VALUE($F48),$F48))</f>
        <v/>
      </c>
      <c r="Q48" s="14" t="str">
        <f aca="false">IF($A48="","",IFERROR(VALUE($G48),$G48))</f>
        <v/>
      </c>
      <c r="R48" s="14" t="str">
        <f aca="false">IF($A48="","",$B$5)</f>
        <v/>
      </c>
      <c r="S48" s="14" t="str">
        <f aca="true">IF($A48="","",TODAY())</f>
        <v/>
      </c>
    </row>
    <row r="49" customFormat="false" ht="15" hidden="false" customHeight="false" outlineLevel="0" collapsed="false">
      <c r="A49" s="14"/>
      <c r="B49" s="14"/>
      <c r="C49" s="14"/>
      <c r="D49" s="14"/>
      <c r="E49" s="14"/>
      <c r="F49" s="14"/>
      <c r="G49" s="14"/>
      <c r="J49" s="14" t="str">
        <f aca="false">IF($A49="","",$B$4)</f>
        <v/>
      </c>
      <c r="K49" s="14" t="str">
        <f aca="false">IF($A49="","",TRIM($A49))</f>
        <v/>
      </c>
      <c r="L49" s="14" t="str">
        <f aca="false">IF($A49="","",TRIM($B49))</f>
        <v/>
      </c>
      <c r="M49" s="14" t="str">
        <f aca="false">IF($A49="","",IFERROR(VALUE($C49),$C49))</f>
        <v/>
      </c>
      <c r="N49" s="14" t="str">
        <f aca="false">IF($A49="","",IFERROR(VALUE($D49),$D49))</f>
        <v/>
      </c>
      <c r="O49" s="14" t="str">
        <f aca="false">IF($A49="","",IFERROR(VALUE($E49),$E49))</f>
        <v/>
      </c>
      <c r="P49" s="14" t="str">
        <f aca="false">IF($A49="","",IFERROR(VALUE($F49),$F49))</f>
        <v/>
      </c>
      <c r="Q49" s="14" t="str">
        <f aca="false">IF($A49="","",IFERROR(VALUE($G49),$G49))</f>
        <v/>
      </c>
      <c r="R49" s="14" t="str">
        <f aca="false">IF($A49="","",$B$5)</f>
        <v/>
      </c>
      <c r="S49" s="14" t="str">
        <f aca="true">IF($A49="","",TODAY())</f>
        <v/>
      </c>
    </row>
    <row r="50" customFormat="false" ht="15" hidden="false" customHeight="false" outlineLevel="0" collapsed="false">
      <c r="A50" s="14"/>
      <c r="B50" s="14"/>
      <c r="C50" s="14"/>
      <c r="D50" s="14"/>
      <c r="E50" s="14"/>
      <c r="F50" s="14"/>
      <c r="G50" s="14"/>
      <c r="J50" s="14" t="str">
        <f aca="false">IF($A50="","",$B$4)</f>
        <v/>
      </c>
      <c r="K50" s="14" t="str">
        <f aca="false">IF($A50="","",TRIM($A50))</f>
        <v/>
      </c>
      <c r="L50" s="14" t="str">
        <f aca="false">IF($A50="","",TRIM($B50))</f>
        <v/>
      </c>
      <c r="M50" s="14" t="str">
        <f aca="false">IF($A50="","",IFERROR(VALUE($C50),$C50))</f>
        <v/>
      </c>
      <c r="N50" s="14" t="str">
        <f aca="false">IF($A50="","",IFERROR(VALUE($D50),$D50))</f>
        <v/>
      </c>
      <c r="O50" s="14" t="str">
        <f aca="false">IF($A50="","",IFERROR(VALUE($E50),$E50))</f>
        <v/>
      </c>
      <c r="P50" s="14" t="str">
        <f aca="false">IF($A50="","",IFERROR(VALUE($F50),$F50))</f>
        <v/>
      </c>
      <c r="Q50" s="14" t="str">
        <f aca="false">IF($A50="","",IFERROR(VALUE($G50),$G50))</f>
        <v/>
      </c>
      <c r="R50" s="14" t="str">
        <f aca="false">IF($A50="","",$B$5)</f>
        <v/>
      </c>
      <c r="S50" s="14" t="str">
        <f aca="true">IF($A50="","",TODAY())</f>
        <v/>
      </c>
    </row>
    <row r="51" customFormat="false" ht="15" hidden="false" customHeight="false" outlineLevel="0" collapsed="false">
      <c r="A51" s="14"/>
      <c r="B51" s="14"/>
      <c r="C51" s="14"/>
      <c r="D51" s="14"/>
      <c r="E51" s="14"/>
      <c r="F51" s="14"/>
      <c r="G51" s="14"/>
      <c r="J51" s="14" t="str">
        <f aca="false">IF($A51="","",$B$4)</f>
        <v/>
      </c>
      <c r="K51" s="14" t="str">
        <f aca="false">IF($A51="","",TRIM($A51))</f>
        <v/>
      </c>
      <c r="L51" s="14" t="str">
        <f aca="false">IF($A51="","",TRIM($B51))</f>
        <v/>
      </c>
      <c r="M51" s="14" t="str">
        <f aca="false">IF($A51="","",IFERROR(VALUE($C51),$C51))</f>
        <v/>
      </c>
      <c r="N51" s="14" t="str">
        <f aca="false">IF($A51="","",IFERROR(VALUE($D51),$D51))</f>
        <v/>
      </c>
      <c r="O51" s="14" t="str">
        <f aca="false">IF($A51="","",IFERROR(VALUE($E51),$E51))</f>
        <v/>
      </c>
      <c r="P51" s="14" t="str">
        <f aca="false">IF($A51="","",IFERROR(VALUE($F51),$F51))</f>
        <v/>
      </c>
      <c r="Q51" s="14" t="str">
        <f aca="false">IF($A51="","",IFERROR(VALUE($G51),$G51))</f>
        <v/>
      </c>
      <c r="R51" s="14" t="str">
        <f aca="false">IF($A51="","",$B$5)</f>
        <v/>
      </c>
      <c r="S51" s="14" t="str">
        <f aca="true">IF($A51="","",TODAY())</f>
        <v/>
      </c>
    </row>
    <row r="52" customFormat="false" ht="15" hidden="false" customHeight="false" outlineLevel="0" collapsed="false">
      <c r="A52" s="14"/>
      <c r="B52" s="14"/>
      <c r="C52" s="14"/>
      <c r="D52" s="14"/>
      <c r="E52" s="14"/>
      <c r="F52" s="14"/>
      <c r="G52" s="14"/>
      <c r="J52" s="14" t="str">
        <f aca="false">IF($A52="","",$B$4)</f>
        <v/>
      </c>
      <c r="K52" s="14" t="str">
        <f aca="false">IF($A52="","",TRIM($A52))</f>
        <v/>
      </c>
      <c r="L52" s="14" t="str">
        <f aca="false">IF($A52="","",TRIM($B52))</f>
        <v/>
      </c>
      <c r="M52" s="14" t="str">
        <f aca="false">IF($A52="","",IFERROR(VALUE($C52),$C52))</f>
        <v/>
      </c>
      <c r="N52" s="14" t="str">
        <f aca="false">IF($A52="","",IFERROR(VALUE($D52),$D52))</f>
        <v/>
      </c>
      <c r="O52" s="14" t="str">
        <f aca="false">IF($A52="","",IFERROR(VALUE($E52),$E52))</f>
        <v/>
      </c>
      <c r="P52" s="14" t="str">
        <f aca="false">IF($A52="","",IFERROR(VALUE($F52),$F52))</f>
        <v/>
      </c>
      <c r="Q52" s="14" t="str">
        <f aca="false">IF($A52="","",IFERROR(VALUE($G52),$G52))</f>
        <v/>
      </c>
      <c r="R52" s="14" t="str">
        <f aca="false">IF($A52="","",$B$5)</f>
        <v/>
      </c>
      <c r="S52" s="14" t="str">
        <f aca="true">IF($A52="","",TODAY())</f>
        <v/>
      </c>
    </row>
    <row r="53" customFormat="false" ht="15" hidden="false" customHeight="false" outlineLevel="0" collapsed="false">
      <c r="A53" s="14"/>
      <c r="B53" s="14"/>
      <c r="C53" s="14"/>
      <c r="D53" s="14"/>
      <c r="E53" s="14"/>
      <c r="F53" s="14"/>
      <c r="G53" s="14"/>
      <c r="J53" s="14" t="str">
        <f aca="false">IF($A53="","",$B$4)</f>
        <v/>
      </c>
      <c r="K53" s="14" t="str">
        <f aca="false">IF($A53="","",TRIM($A53))</f>
        <v/>
      </c>
      <c r="L53" s="14" t="str">
        <f aca="false">IF($A53="","",TRIM($B53))</f>
        <v/>
      </c>
      <c r="M53" s="14" t="str">
        <f aca="false">IF($A53="","",IFERROR(VALUE($C53),$C53))</f>
        <v/>
      </c>
      <c r="N53" s="14" t="str">
        <f aca="false">IF($A53="","",IFERROR(VALUE($D53),$D53))</f>
        <v/>
      </c>
      <c r="O53" s="14" t="str">
        <f aca="false">IF($A53="","",IFERROR(VALUE($E53),$E53))</f>
        <v/>
      </c>
      <c r="P53" s="14" t="str">
        <f aca="false">IF($A53="","",IFERROR(VALUE($F53),$F53))</f>
        <v/>
      </c>
      <c r="Q53" s="14" t="str">
        <f aca="false">IF($A53="","",IFERROR(VALUE($G53),$G53))</f>
        <v/>
      </c>
      <c r="R53" s="14" t="str">
        <f aca="false">IF($A53="","",$B$5)</f>
        <v/>
      </c>
      <c r="S53" s="14" t="str">
        <f aca="true">IF($A53="","",TODAY())</f>
        <v/>
      </c>
    </row>
    <row r="54" customFormat="false" ht="15" hidden="false" customHeight="false" outlineLevel="0" collapsed="false">
      <c r="A54" s="14"/>
      <c r="B54" s="14"/>
      <c r="C54" s="14"/>
      <c r="D54" s="14"/>
      <c r="E54" s="14"/>
      <c r="F54" s="14"/>
      <c r="G54" s="14"/>
      <c r="J54" s="14" t="str">
        <f aca="false">IF($A54="","",$B$4)</f>
        <v/>
      </c>
      <c r="K54" s="14" t="str">
        <f aca="false">IF($A54="","",TRIM($A54))</f>
        <v/>
      </c>
      <c r="L54" s="14" t="str">
        <f aca="false">IF($A54="","",TRIM($B54))</f>
        <v/>
      </c>
      <c r="M54" s="14" t="str">
        <f aca="false">IF($A54="","",IFERROR(VALUE($C54),$C54))</f>
        <v/>
      </c>
      <c r="N54" s="14" t="str">
        <f aca="false">IF($A54="","",IFERROR(VALUE($D54),$D54))</f>
        <v/>
      </c>
      <c r="O54" s="14" t="str">
        <f aca="false">IF($A54="","",IFERROR(VALUE($E54),$E54))</f>
        <v/>
      </c>
      <c r="P54" s="14" t="str">
        <f aca="false">IF($A54="","",IFERROR(VALUE($F54),$F54))</f>
        <v/>
      </c>
      <c r="Q54" s="14" t="str">
        <f aca="false">IF($A54="","",IFERROR(VALUE($G54),$G54))</f>
        <v/>
      </c>
      <c r="R54" s="14" t="str">
        <f aca="false">IF($A54="","",$B$5)</f>
        <v/>
      </c>
      <c r="S54" s="14" t="str">
        <f aca="true">IF($A54="","",TODAY())</f>
        <v/>
      </c>
    </row>
    <row r="55" customFormat="false" ht="15" hidden="false" customHeight="false" outlineLevel="0" collapsed="false">
      <c r="A55" s="14"/>
      <c r="B55" s="14"/>
      <c r="C55" s="14"/>
      <c r="D55" s="14"/>
      <c r="E55" s="14"/>
      <c r="F55" s="14"/>
      <c r="G55" s="14"/>
      <c r="J55" s="14" t="str">
        <f aca="false">IF($A55="","",$B$4)</f>
        <v/>
      </c>
      <c r="K55" s="14" t="str">
        <f aca="false">IF($A55="","",TRIM($A55))</f>
        <v/>
      </c>
      <c r="L55" s="14" t="str">
        <f aca="false">IF($A55="","",TRIM($B55))</f>
        <v/>
      </c>
      <c r="M55" s="14" t="str">
        <f aca="false">IF($A55="","",IFERROR(VALUE($C55),$C55))</f>
        <v/>
      </c>
      <c r="N55" s="14" t="str">
        <f aca="false">IF($A55="","",IFERROR(VALUE($D55),$D55))</f>
        <v/>
      </c>
      <c r="O55" s="14" t="str">
        <f aca="false">IF($A55="","",IFERROR(VALUE($E55),$E55))</f>
        <v/>
      </c>
      <c r="P55" s="14" t="str">
        <f aca="false">IF($A55="","",IFERROR(VALUE($F55),$F55))</f>
        <v/>
      </c>
      <c r="Q55" s="14" t="str">
        <f aca="false">IF($A55="","",IFERROR(VALUE($G55),$G55))</f>
        <v/>
      </c>
      <c r="R55" s="14" t="str">
        <f aca="false">IF($A55="","",$B$5)</f>
        <v/>
      </c>
      <c r="S55" s="14" t="str">
        <f aca="true">IF($A55="","",TODAY())</f>
        <v/>
      </c>
    </row>
    <row r="56" customFormat="false" ht="15" hidden="false" customHeight="false" outlineLevel="0" collapsed="false">
      <c r="A56" s="14"/>
      <c r="B56" s="14"/>
      <c r="C56" s="14"/>
      <c r="D56" s="14"/>
      <c r="E56" s="14"/>
      <c r="F56" s="14"/>
      <c r="G56" s="14"/>
      <c r="J56" s="14" t="str">
        <f aca="false">IF($A56="","",$B$4)</f>
        <v/>
      </c>
      <c r="K56" s="14" t="str">
        <f aca="false">IF($A56="","",TRIM($A56))</f>
        <v/>
      </c>
      <c r="L56" s="14" t="str">
        <f aca="false">IF($A56="","",TRIM($B56))</f>
        <v/>
      </c>
      <c r="M56" s="14" t="str">
        <f aca="false">IF($A56="","",IFERROR(VALUE($C56),$C56))</f>
        <v/>
      </c>
      <c r="N56" s="14" t="str">
        <f aca="false">IF($A56="","",IFERROR(VALUE($D56),$D56))</f>
        <v/>
      </c>
      <c r="O56" s="14" t="str">
        <f aca="false">IF($A56="","",IFERROR(VALUE($E56),$E56))</f>
        <v/>
      </c>
      <c r="P56" s="14" t="str">
        <f aca="false">IF($A56="","",IFERROR(VALUE($F56),$F56))</f>
        <v/>
      </c>
      <c r="Q56" s="14" t="str">
        <f aca="false">IF($A56="","",IFERROR(VALUE($G56),$G56))</f>
        <v/>
      </c>
      <c r="R56" s="14" t="str">
        <f aca="false">IF($A56="","",$B$5)</f>
        <v/>
      </c>
      <c r="S56" s="14" t="str">
        <f aca="true">IF($A56="","",TODAY())</f>
        <v/>
      </c>
    </row>
    <row r="57" customFormat="false" ht="15" hidden="false" customHeight="false" outlineLevel="0" collapsed="false">
      <c r="A57" s="14"/>
      <c r="B57" s="14"/>
      <c r="C57" s="14"/>
      <c r="D57" s="14"/>
      <c r="E57" s="14"/>
      <c r="F57" s="14"/>
      <c r="G57" s="14"/>
      <c r="J57" s="14" t="str">
        <f aca="false">IF($A57="","",$B$4)</f>
        <v/>
      </c>
      <c r="K57" s="14" t="str">
        <f aca="false">IF($A57="","",TRIM($A57))</f>
        <v/>
      </c>
      <c r="L57" s="14" t="str">
        <f aca="false">IF($A57="","",TRIM($B57))</f>
        <v/>
      </c>
      <c r="M57" s="14" t="str">
        <f aca="false">IF($A57="","",IFERROR(VALUE($C57),$C57))</f>
        <v/>
      </c>
      <c r="N57" s="14" t="str">
        <f aca="false">IF($A57="","",IFERROR(VALUE($D57),$D57))</f>
        <v/>
      </c>
      <c r="O57" s="14" t="str">
        <f aca="false">IF($A57="","",IFERROR(VALUE($E57),$E57))</f>
        <v/>
      </c>
      <c r="P57" s="14" t="str">
        <f aca="false">IF($A57="","",IFERROR(VALUE($F57),$F57))</f>
        <v/>
      </c>
      <c r="Q57" s="14" t="str">
        <f aca="false">IF($A57="","",IFERROR(VALUE($G57),$G57))</f>
        <v/>
      </c>
      <c r="R57" s="14" t="str">
        <f aca="false">IF($A57="","",$B$5)</f>
        <v/>
      </c>
      <c r="S57" s="14" t="str">
        <f aca="true">IF($A57="","",TODAY())</f>
        <v/>
      </c>
    </row>
    <row r="58" customFormat="false" ht="15" hidden="false" customHeight="false" outlineLevel="0" collapsed="false">
      <c r="A58" s="14"/>
      <c r="B58" s="14"/>
      <c r="C58" s="14"/>
      <c r="D58" s="14"/>
      <c r="E58" s="14"/>
      <c r="F58" s="14"/>
      <c r="G58" s="14"/>
      <c r="J58" s="14" t="str">
        <f aca="false">IF($A58="","",$B$4)</f>
        <v/>
      </c>
      <c r="K58" s="14" t="str">
        <f aca="false">IF($A58="","",TRIM($A58))</f>
        <v/>
      </c>
      <c r="L58" s="14" t="str">
        <f aca="false">IF($A58="","",TRIM($B58))</f>
        <v/>
      </c>
      <c r="M58" s="14" t="str">
        <f aca="false">IF($A58="","",IFERROR(VALUE($C58),$C58))</f>
        <v/>
      </c>
      <c r="N58" s="14" t="str">
        <f aca="false">IF($A58="","",IFERROR(VALUE($D58),$D58))</f>
        <v/>
      </c>
      <c r="O58" s="14" t="str">
        <f aca="false">IF($A58="","",IFERROR(VALUE($E58),$E58))</f>
        <v/>
      </c>
      <c r="P58" s="14" t="str">
        <f aca="false">IF($A58="","",IFERROR(VALUE($F58),$F58))</f>
        <v/>
      </c>
      <c r="Q58" s="14" t="str">
        <f aca="false">IF($A58="","",IFERROR(VALUE($G58),$G58))</f>
        <v/>
      </c>
      <c r="R58" s="14" t="str">
        <f aca="false">IF($A58="","",$B$5)</f>
        <v/>
      </c>
      <c r="S58" s="14" t="str">
        <f aca="true">IF($A58="","",TODAY())</f>
        <v/>
      </c>
    </row>
    <row r="59" customFormat="false" ht="15" hidden="false" customHeight="false" outlineLevel="0" collapsed="false">
      <c r="A59" s="14"/>
      <c r="B59" s="14"/>
      <c r="C59" s="14"/>
      <c r="D59" s="14"/>
      <c r="E59" s="14"/>
      <c r="F59" s="14"/>
      <c r="G59" s="14"/>
      <c r="J59" s="14" t="str">
        <f aca="false">IF($A59="","",$B$4)</f>
        <v/>
      </c>
      <c r="K59" s="14" t="str">
        <f aca="false">IF($A59="","",TRIM($A59))</f>
        <v/>
      </c>
      <c r="L59" s="14" t="str">
        <f aca="false">IF($A59="","",TRIM($B59))</f>
        <v/>
      </c>
      <c r="M59" s="14" t="str">
        <f aca="false">IF($A59="","",IFERROR(VALUE($C59),$C59))</f>
        <v/>
      </c>
      <c r="N59" s="14" t="str">
        <f aca="false">IF($A59="","",IFERROR(VALUE($D59),$D59))</f>
        <v/>
      </c>
      <c r="O59" s="14" t="str">
        <f aca="false">IF($A59="","",IFERROR(VALUE($E59),$E59))</f>
        <v/>
      </c>
      <c r="P59" s="14" t="str">
        <f aca="false">IF($A59="","",IFERROR(VALUE($F59),$F59))</f>
        <v/>
      </c>
      <c r="Q59" s="14" t="str">
        <f aca="false">IF($A59="","",IFERROR(VALUE($G59),$G59))</f>
        <v/>
      </c>
      <c r="R59" s="14" t="str">
        <f aca="false">IF($A59="","",$B$5)</f>
        <v/>
      </c>
      <c r="S59" s="14" t="str">
        <f aca="true">IF($A59="","",TODAY())</f>
        <v/>
      </c>
    </row>
    <row r="60" customFormat="false" ht="15" hidden="false" customHeight="false" outlineLevel="0" collapsed="false">
      <c r="A60" s="14"/>
      <c r="B60" s="14"/>
      <c r="C60" s="14"/>
      <c r="D60" s="14"/>
      <c r="E60" s="14"/>
      <c r="F60" s="14"/>
      <c r="G60" s="14"/>
      <c r="J60" s="14" t="str">
        <f aca="false">IF($A60="","",$B$4)</f>
        <v/>
      </c>
      <c r="K60" s="14" t="str">
        <f aca="false">IF($A60="","",TRIM($A60))</f>
        <v/>
      </c>
      <c r="L60" s="14" t="str">
        <f aca="false">IF($A60="","",TRIM($B60))</f>
        <v/>
      </c>
      <c r="M60" s="14" t="str">
        <f aca="false">IF($A60="","",IFERROR(VALUE($C60),$C60))</f>
        <v/>
      </c>
      <c r="N60" s="14" t="str">
        <f aca="false">IF($A60="","",IFERROR(VALUE($D60),$D60))</f>
        <v/>
      </c>
      <c r="O60" s="14" t="str">
        <f aca="false">IF($A60="","",IFERROR(VALUE($E60),$E60))</f>
        <v/>
      </c>
      <c r="P60" s="14" t="str">
        <f aca="false">IF($A60="","",IFERROR(VALUE($F60),$F60))</f>
        <v/>
      </c>
      <c r="Q60" s="14" t="str">
        <f aca="false">IF($A60="","",IFERROR(VALUE($G60),$G60))</f>
        <v/>
      </c>
      <c r="R60" s="14" t="str">
        <f aca="false">IF($A60="","",$B$5)</f>
        <v/>
      </c>
      <c r="S60" s="14" t="str">
        <f aca="true">IF($A60="","",TODAY())</f>
        <v/>
      </c>
    </row>
    <row r="61" customFormat="false" ht="15" hidden="false" customHeight="false" outlineLevel="0" collapsed="false">
      <c r="A61" s="14"/>
      <c r="B61" s="14"/>
      <c r="C61" s="14"/>
      <c r="D61" s="14"/>
      <c r="E61" s="14"/>
      <c r="F61" s="14"/>
      <c r="G61" s="14"/>
      <c r="J61" s="14" t="str">
        <f aca="false">IF($A61="","",$B$4)</f>
        <v/>
      </c>
      <c r="K61" s="14" t="str">
        <f aca="false">IF($A61="","",TRIM($A61))</f>
        <v/>
      </c>
      <c r="L61" s="14" t="str">
        <f aca="false">IF($A61="","",TRIM($B61))</f>
        <v/>
      </c>
      <c r="M61" s="14" t="str">
        <f aca="false">IF($A61="","",IFERROR(VALUE($C61),$C61))</f>
        <v/>
      </c>
      <c r="N61" s="14" t="str">
        <f aca="false">IF($A61="","",IFERROR(VALUE($D61),$D61))</f>
        <v/>
      </c>
      <c r="O61" s="14" t="str">
        <f aca="false">IF($A61="","",IFERROR(VALUE($E61),$E61))</f>
        <v/>
      </c>
      <c r="P61" s="14" t="str">
        <f aca="false">IF($A61="","",IFERROR(VALUE($F61),$F61))</f>
        <v/>
      </c>
      <c r="Q61" s="14" t="str">
        <f aca="false">IF($A61="","",IFERROR(VALUE($G61),$G61))</f>
        <v/>
      </c>
      <c r="R61" s="14" t="str">
        <f aca="false">IF($A61="","",$B$5)</f>
        <v/>
      </c>
      <c r="S61" s="14" t="str">
        <f aca="true">IF($A61="","",TODAY())</f>
        <v/>
      </c>
    </row>
    <row r="62" customFormat="false" ht="15" hidden="false" customHeight="false" outlineLevel="0" collapsed="false">
      <c r="A62" s="14"/>
      <c r="B62" s="14"/>
      <c r="C62" s="14"/>
      <c r="D62" s="14"/>
      <c r="E62" s="14"/>
      <c r="F62" s="14"/>
      <c r="G62" s="14"/>
      <c r="J62" s="14" t="str">
        <f aca="false">IF($A62="","",$B$4)</f>
        <v/>
      </c>
      <c r="K62" s="14" t="str">
        <f aca="false">IF($A62="","",TRIM($A62))</f>
        <v/>
      </c>
      <c r="L62" s="14" t="str">
        <f aca="false">IF($A62="","",TRIM($B62))</f>
        <v/>
      </c>
      <c r="M62" s="14" t="str">
        <f aca="false">IF($A62="","",IFERROR(VALUE($C62),$C62))</f>
        <v/>
      </c>
      <c r="N62" s="14" t="str">
        <f aca="false">IF($A62="","",IFERROR(VALUE($D62),$D62))</f>
        <v/>
      </c>
      <c r="O62" s="14" t="str">
        <f aca="false">IF($A62="","",IFERROR(VALUE($E62),$E62))</f>
        <v/>
      </c>
      <c r="P62" s="14" t="str">
        <f aca="false">IF($A62="","",IFERROR(VALUE($F62),$F62))</f>
        <v/>
      </c>
      <c r="Q62" s="14" t="str">
        <f aca="false">IF($A62="","",IFERROR(VALUE($G62),$G62))</f>
        <v/>
      </c>
      <c r="R62" s="14" t="str">
        <f aca="false">IF($A62="","",$B$5)</f>
        <v/>
      </c>
      <c r="S62" s="14" t="str">
        <f aca="true">IF($A62="","",TODAY())</f>
        <v/>
      </c>
    </row>
    <row r="63" customFormat="false" ht="15" hidden="false" customHeight="false" outlineLevel="0" collapsed="false">
      <c r="A63" s="14"/>
      <c r="B63" s="14"/>
      <c r="C63" s="14"/>
      <c r="D63" s="14"/>
      <c r="E63" s="14"/>
      <c r="F63" s="14"/>
      <c r="G63" s="14"/>
      <c r="J63" s="14" t="str">
        <f aca="false">IF($A63="","",$B$4)</f>
        <v/>
      </c>
      <c r="K63" s="14" t="str">
        <f aca="false">IF($A63="","",TRIM($A63))</f>
        <v/>
      </c>
      <c r="L63" s="14" t="str">
        <f aca="false">IF($A63="","",TRIM($B63))</f>
        <v/>
      </c>
      <c r="M63" s="14" t="str">
        <f aca="false">IF($A63="","",IFERROR(VALUE($C63),$C63))</f>
        <v/>
      </c>
      <c r="N63" s="14" t="str">
        <f aca="false">IF($A63="","",IFERROR(VALUE($D63),$D63))</f>
        <v/>
      </c>
      <c r="O63" s="14" t="str">
        <f aca="false">IF($A63="","",IFERROR(VALUE($E63),$E63))</f>
        <v/>
      </c>
      <c r="P63" s="14" t="str">
        <f aca="false">IF($A63="","",IFERROR(VALUE($F63),$F63))</f>
        <v/>
      </c>
      <c r="Q63" s="14" t="str">
        <f aca="false">IF($A63="","",IFERROR(VALUE($G63),$G63))</f>
        <v/>
      </c>
      <c r="R63" s="14" t="str">
        <f aca="false">IF($A63="","",$B$5)</f>
        <v/>
      </c>
      <c r="S63" s="14" t="str">
        <f aca="true">IF($A63="","",TODAY())</f>
        <v/>
      </c>
    </row>
    <row r="64" customFormat="false" ht="15" hidden="false" customHeight="false" outlineLevel="0" collapsed="false">
      <c r="A64" s="14"/>
      <c r="B64" s="14"/>
      <c r="C64" s="14"/>
      <c r="D64" s="14"/>
      <c r="E64" s="14"/>
      <c r="F64" s="14"/>
      <c r="G64" s="14"/>
      <c r="J64" s="14" t="str">
        <f aca="false">IF($A64="","",$B$4)</f>
        <v/>
      </c>
      <c r="K64" s="14" t="str">
        <f aca="false">IF($A64="","",TRIM($A64))</f>
        <v/>
      </c>
      <c r="L64" s="14" t="str">
        <f aca="false">IF($A64="","",TRIM($B64))</f>
        <v/>
      </c>
      <c r="M64" s="14" t="str">
        <f aca="false">IF($A64="","",IFERROR(VALUE($C64),$C64))</f>
        <v/>
      </c>
      <c r="N64" s="14" t="str">
        <f aca="false">IF($A64="","",IFERROR(VALUE($D64),$D64))</f>
        <v/>
      </c>
      <c r="O64" s="14" t="str">
        <f aca="false">IF($A64="","",IFERROR(VALUE($E64),$E64))</f>
        <v/>
      </c>
      <c r="P64" s="14" t="str">
        <f aca="false">IF($A64="","",IFERROR(VALUE($F64),$F64))</f>
        <v/>
      </c>
      <c r="Q64" s="14" t="str">
        <f aca="false">IF($A64="","",IFERROR(VALUE($G64),$G64))</f>
        <v/>
      </c>
      <c r="R64" s="14" t="str">
        <f aca="false">IF($A64="","",$B$5)</f>
        <v/>
      </c>
      <c r="S64" s="14" t="str">
        <f aca="true">IF($A64="","",TODAY())</f>
        <v/>
      </c>
    </row>
    <row r="65" customFormat="false" ht="15" hidden="false" customHeight="false" outlineLevel="0" collapsed="false">
      <c r="A65" s="14"/>
      <c r="B65" s="14"/>
      <c r="C65" s="14"/>
      <c r="D65" s="14"/>
      <c r="E65" s="14"/>
      <c r="F65" s="14"/>
      <c r="G65" s="14"/>
      <c r="J65" s="14" t="str">
        <f aca="false">IF($A65="","",$B$4)</f>
        <v/>
      </c>
      <c r="K65" s="14" t="str">
        <f aca="false">IF($A65="","",TRIM($A65))</f>
        <v/>
      </c>
      <c r="L65" s="14" t="str">
        <f aca="false">IF($A65="","",TRIM($B65))</f>
        <v/>
      </c>
      <c r="M65" s="14" t="str">
        <f aca="false">IF($A65="","",IFERROR(VALUE($C65),$C65))</f>
        <v/>
      </c>
      <c r="N65" s="14" t="str">
        <f aca="false">IF($A65="","",IFERROR(VALUE($D65),$D65))</f>
        <v/>
      </c>
      <c r="O65" s="14" t="str">
        <f aca="false">IF($A65="","",IFERROR(VALUE($E65),$E65))</f>
        <v/>
      </c>
      <c r="P65" s="14" t="str">
        <f aca="false">IF($A65="","",IFERROR(VALUE($F65),$F65))</f>
        <v/>
      </c>
      <c r="Q65" s="14" t="str">
        <f aca="false">IF($A65="","",IFERROR(VALUE($G65),$G65))</f>
        <v/>
      </c>
      <c r="R65" s="14" t="str">
        <f aca="false">IF($A65="","",$B$5)</f>
        <v/>
      </c>
      <c r="S65" s="14" t="str">
        <f aca="true">IF($A65="","",TODAY())</f>
        <v/>
      </c>
    </row>
    <row r="66" customFormat="false" ht="15" hidden="false" customHeight="false" outlineLevel="0" collapsed="false">
      <c r="A66" s="14"/>
      <c r="B66" s="14"/>
      <c r="C66" s="14"/>
      <c r="D66" s="14"/>
      <c r="E66" s="14"/>
      <c r="F66" s="14"/>
      <c r="G66" s="14"/>
      <c r="J66" s="14" t="str">
        <f aca="false">IF($A66="","",$B$4)</f>
        <v/>
      </c>
      <c r="K66" s="14" t="str">
        <f aca="false">IF($A66="","",TRIM($A66))</f>
        <v/>
      </c>
      <c r="L66" s="14" t="str">
        <f aca="false">IF($A66="","",TRIM($B66))</f>
        <v/>
      </c>
      <c r="M66" s="14" t="str">
        <f aca="false">IF($A66="","",IFERROR(VALUE($C66),$C66))</f>
        <v/>
      </c>
      <c r="N66" s="14" t="str">
        <f aca="false">IF($A66="","",IFERROR(VALUE($D66),$D66))</f>
        <v/>
      </c>
      <c r="O66" s="14" t="str">
        <f aca="false">IF($A66="","",IFERROR(VALUE($E66),$E66))</f>
        <v/>
      </c>
      <c r="P66" s="14" t="str">
        <f aca="false">IF($A66="","",IFERROR(VALUE($F66),$F66))</f>
        <v/>
      </c>
      <c r="Q66" s="14" t="str">
        <f aca="false">IF($A66="","",IFERROR(VALUE($G66),$G66))</f>
        <v/>
      </c>
      <c r="R66" s="14" t="str">
        <f aca="false">IF($A66="","",$B$5)</f>
        <v/>
      </c>
      <c r="S66" s="14" t="str">
        <f aca="true">IF($A66="","",TODAY())</f>
        <v/>
      </c>
    </row>
  </sheetData>
  <mergeCells count="4">
    <mergeCell ref="A1:G1"/>
    <mergeCell ref="A2:G2"/>
    <mergeCell ref="B5:E5"/>
    <mergeCell ref="J6:Q6"/>
  </mergeCells>
  <dataValidations count="1">
    <dataValidation allowBlank="true" errorStyle="stop" operator="between" showDropDown="false" showErrorMessage="false" showInputMessage="false" sqref="B4" type="list">
      <formula1>Lists!$A$2:$A$28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8" min="4" style="0" width="16"/>
    <col collapsed="false" customWidth="true" hidden="false" outlineLevel="0" max="9" min="9" style="0" width="45"/>
    <col collapsed="false" customWidth="true" hidden="false" outlineLevel="0" max="12" min="10" style="0" width="16"/>
  </cols>
  <sheetData>
    <row r="1" customFormat="false" ht="15" hidden="false" customHeight="false" outlineLevel="0" collapsed="false">
      <c r="A1" s="12" t="s">
        <v>63</v>
      </c>
      <c r="B1" s="12" t="s">
        <v>72</v>
      </c>
      <c r="C1" s="12" t="s">
        <v>52</v>
      </c>
      <c r="D1" s="12" t="s">
        <v>73</v>
      </c>
      <c r="E1" s="12" t="s">
        <v>74</v>
      </c>
      <c r="F1" s="12" t="s">
        <v>75</v>
      </c>
      <c r="G1" s="12" t="s">
        <v>76</v>
      </c>
      <c r="H1" s="12" t="s">
        <v>77</v>
      </c>
      <c r="I1" s="12" t="s">
        <v>64</v>
      </c>
      <c r="J1" s="12" t="s">
        <v>65</v>
      </c>
      <c r="K1" s="12" t="s">
        <v>79</v>
      </c>
      <c r="L1" s="12" t="s">
        <v>80</v>
      </c>
    </row>
    <row r="2" customFormat="false" ht="15" hidden="false" customHeight="false" outlineLevel="0" collapsed="false">
      <c r="A2" s="17" t="s">
        <v>67</v>
      </c>
      <c r="B2" s="17" t="s">
        <v>81</v>
      </c>
      <c r="C2" s="17" t="s">
        <v>68</v>
      </c>
      <c r="D2" s="17" t="n">
        <v>20</v>
      </c>
      <c r="E2" s="17" t="n">
        <v>15</v>
      </c>
      <c r="F2" s="17" t="n">
        <v>75</v>
      </c>
      <c r="G2" s="17" t="n">
        <v>1</v>
      </c>
      <c r="H2" s="17" t="n">
        <v>0</v>
      </c>
      <c r="I2" s="17" t="s">
        <v>69</v>
      </c>
      <c r="J2" s="18" t="n">
        <f aca="true">TODAY()</f>
        <v>46237</v>
      </c>
      <c r="K2" s="16" t="n">
        <f aca="false">SUMPRODUCT(($A$2:$A$5000=A2)*($E$2:$E$5000&gt;E2))+SUMPRODUCT(($A$2:$A$5000=A2)*($E$2:$E$5000=E2)*(ROW($A$2:$A$5000)&lt;ROW(A2)))+1</f>
        <v>1</v>
      </c>
      <c r="L2" s="16" t="str">
        <f aca="false">A2&amp;"|"&amp;K2</f>
        <v>2025/26|1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20"/>
    <col collapsed="false" customWidth="true" hidden="false" outlineLevel="0" max="3" min="3" style="0" width="9"/>
    <col collapsed="false" customWidth="true" hidden="false" outlineLevel="0" max="4" min="4" style="0" width="11"/>
    <col collapsed="false" customWidth="true" hidden="false" outlineLevel="0" max="5" min="5" style="0" width="15"/>
    <col collapsed="false" customWidth="true" hidden="false" outlineLevel="0" max="6" min="6" style="0" width="12"/>
    <col collapsed="false" customWidth="true" hidden="false" outlineLevel="0" max="7" min="7" style="0" width="10"/>
    <col collapsed="false" customWidth="true" hidden="false" outlineLevel="0" max="8" min="8" style="0" width="9"/>
    <col collapsed="false" customWidth="true" hidden="false" outlineLevel="0" max="9" min="9" style="0" width="14"/>
    <col collapsed="false" customWidth="true" hidden="false" outlineLevel="0" max="10" min="10" style="0" width="10"/>
  </cols>
  <sheetData>
    <row r="1" customFormat="false" ht="19.7" hidden="false" customHeight="false" outlineLevel="0" collapsed="false">
      <c r="A1" s="5" t="s">
        <v>82</v>
      </c>
      <c r="B1" s="5"/>
      <c r="C1" s="5"/>
      <c r="D1" s="5"/>
      <c r="E1" s="5"/>
      <c r="F1" s="5"/>
      <c r="G1" s="5"/>
      <c r="H1" s="5"/>
      <c r="I1" s="5"/>
      <c r="J1" s="5"/>
    </row>
    <row r="2" customFormat="false" ht="75" hidden="false" customHeight="true" outlineLevel="0" collapsed="false">
      <c r="A2" s="6" t="s">
        <v>83</v>
      </c>
      <c r="B2" s="6"/>
      <c r="C2" s="6"/>
      <c r="D2" s="6"/>
      <c r="E2" s="6"/>
      <c r="F2" s="6"/>
      <c r="G2" s="6"/>
      <c r="H2" s="6"/>
      <c r="I2" s="6"/>
      <c r="J2" s="6"/>
    </row>
    <row r="4" customFormat="false" ht="15" hidden="false" customHeight="false" outlineLevel="0" collapsed="false">
      <c r="A4" s="9" t="s">
        <v>49</v>
      </c>
      <c r="B4" s="10"/>
    </row>
    <row r="5" customFormat="false" ht="15" hidden="false" customHeight="false" outlineLevel="0" collapsed="false">
      <c r="A5" s="9" t="s">
        <v>50</v>
      </c>
      <c r="B5" s="11"/>
      <c r="C5" s="11"/>
      <c r="D5" s="11"/>
      <c r="E5" s="11"/>
    </row>
    <row r="6" customFormat="false" ht="15" hidden="false" customHeight="false" outlineLevel="0" collapsed="false">
      <c r="A6" s="12" t="s">
        <v>72</v>
      </c>
      <c r="B6" s="12" t="s">
        <v>52</v>
      </c>
      <c r="C6" s="12" t="s">
        <v>84</v>
      </c>
      <c r="D6" s="12" t="s">
        <v>85</v>
      </c>
      <c r="E6" s="12" t="s">
        <v>86</v>
      </c>
      <c r="F6" s="12" t="s">
        <v>87</v>
      </c>
      <c r="G6" s="12" t="s">
        <v>88</v>
      </c>
      <c r="H6" s="12" t="s">
        <v>89</v>
      </c>
      <c r="I6" s="12" t="s">
        <v>90</v>
      </c>
      <c r="J6" s="12" t="s">
        <v>91</v>
      </c>
      <c r="M6" s="13" t="s">
        <v>92</v>
      </c>
      <c r="N6" s="13"/>
      <c r="O6" s="13"/>
      <c r="P6" s="13"/>
      <c r="Q6" s="13"/>
      <c r="R6" s="13"/>
      <c r="S6" s="13"/>
      <c r="T6" s="13"/>
      <c r="U6" s="13"/>
      <c r="V6" s="13"/>
      <c r="W6" s="13"/>
      <c r="X6" s="13"/>
      <c r="Y6" s="13"/>
    </row>
    <row r="7" customFormat="false" ht="15" hidden="false" customHeight="false" outlineLevel="0" collapsed="false">
      <c r="A7" s="14"/>
      <c r="B7" s="14"/>
      <c r="C7" s="14"/>
      <c r="D7" s="14"/>
      <c r="E7" s="14"/>
      <c r="F7" s="14"/>
      <c r="G7" s="14"/>
      <c r="H7" s="14"/>
      <c r="I7" s="14"/>
      <c r="J7" s="14"/>
      <c r="M7" s="15" t="str">
        <f aca="false">IF($A7="","",$B$4)</f>
        <v/>
      </c>
      <c r="N7" s="15" t="str">
        <f aca="false">IF($A7="","",TRIM($A7))</f>
        <v/>
      </c>
      <c r="O7" s="15" t="str">
        <f aca="false">IF($A7="","",TRIM($B7))</f>
        <v/>
      </c>
      <c r="P7" s="15" t="str">
        <f aca="false">IF($A7="","",IFERROR(VALUE($C7),$C7))</f>
        <v/>
      </c>
      <c r="Q7" s="15" t="str">
        <f aca="false">IF($A7="","",IFERROR(VALUE($D7),$D7))</f>
        <v/>
      </c>
      <c r="R7" s="15" t="str">
        <f aca="false">IF($A7="","",IFERROR(VALUE($E7),$E7))</f>
        <v/>
      </c>
      <c r="S7" s="15" t="str">
        <f aca="false">IF($A7="","",IFERROR(VALUE($F7),$F7))</f>
        <v/>
      </c>
      <c r="T7" s="15" t="str">
        <f aca="false">IF($A7="","",IFERROR(VALUE($G7),$G7))</f>
        <v/>
      </c>
      <c r="U7" s="15" t="str">
        <f aca="false">IF($A7="","",IFERROR(VALUE($H7),$H7))</f>
        <v/>
      </c>
      <c r="V7" s="15" t="str">
        <f aca="false">IF($A7="","",IFERROR(VALUE($I7),$I7))</f>
        <v/>
      </c>
      <c r="W7" s="15" t="str">
        <f aca="false">IF($A7="","",IFERROR(VALUE($J7),$J7))</f>
        <v/>
      </c>
      <c r="X7" s="15" t="str">
        <f aca="false">IF($A7="","",$B$5)</f>
        <v/>
      </c>
      <c r="Y7" s="15" t="str">
        <f aca="true">IF($A7="","",TODAY())</f>
        <v/>
      </c>
    </row>
    <row r="8" customFormat="false" ht="15" hidden="false" customHeight="false" outlineLevel="0" collapsed="false">
      <c r="A8" s="14"/>
      <c r="B8" s="14"/>
      <c r="C8" s="14"/>
      <c r="D8" s="14"/>
      <c r="E8" s="14"/>
      <c r="F8" s="14"/>
      <c r="G8" s="14"/>
      <c r="H8" s="14"/>
      <c r="I8" s="14"/>
      <c r="J8" s="14"/>
      <c r="M8" s="14" t="str">
        <f aca="false">IF($A8="","",$B$4)</f>
        <v/>
      </c>
      <c r="N8" s="14" t="str">
        <f aca="false">IF($A8="","",TRIM($A8))</f>
        <v/>
      </c>
      <c r="O8" s="14" t="str">
        <f aca="false">IF($A8="","",TRIM($B8))</f>
        <v/>
      </c>
      <c r="P8" s="14" t="str">
        <f aca="false">IF($A8="","",IFERROR(VALUE($C8),$C8))</f>
        <v/>
      </c>
      <c r="Q8" s="14" t="str">
        <f aca="false">IF($A8="","",IFERROR(VALUE($D8),$D8))</f>
        <v/>
      </c>
      <c r="R8" s="14" t="str">
        <f aca="false">IF($A8="","",IFERROR(VALUE($E8),$E8))</f>
        <v/>
      </c>
      <c r="S8" s="14" t="str">
        <f aca="false">IF($A8="","",IFERROR(VALUE($F8),$F8))</f>
        <v/>
      </c>
      <c r="T8" s="14" t="str">
        <f aca="false">IF($A8="","",IFERROR(VALUE($G8),$G8))</f>
        <v/>
      </c>
      <c r="U8" s="14" t="str">
        <f aca="false">IF($A8="","",IFERROR(VALUE($H8),$H8))</f>
        <v/>
      </c>
      <c r="V8" s="14" t="str">
        <f aca="false">IF($A8="","",IFERROR(VALUE($I8),$I8))</f>
        <v/>
      </c>
      <c r="W8" s="14" t="str">
        <f aca="false">IF($A8="","",IFERROR(VALUE($J8),$J8))</f>
        <v/>
      </c>
      <c r="X8" s="14" t="str">
        <f aca="false">IF($A8="","",$B$5)</f>
        <v/>
      </c>
      <c r="Y8" s="14" t="str">
        <f aca="true">IF($A8="","",TODAY())</f>
        <v/>
      </c>
    </row>
    <row r="9" customFormat="false" ht="15" hidden="false" customHeight="false" outlineLevel="0" collapsed="false">
      <c r="A9" s="14"/>
      <c r="B9" s="14"/>
      <c r="C9" s="14"/>
      <c r="D9" s="14"/>
      <c r="E9" s="14"/>
      <c r="F9" s="14"/>
      <c r="G9" s="14"/>
      <c r="H9" s="14"/>
      <c r="I9" s="14"/>
      <c r="J9" s="14"/>
      <c r="M9" s="14" t="str">
        <f aca="false">IF($A9="","",$B$4)</f>
        <v/>
      </c>
      <c r="N9" s="14" t="str">
        <f aca="false">IF($A9="","",TRIM($A9))</f>
        <v/>
      </c>
      <c r="O9" s="14" t="str">
        <f aca="false">IF($A9="","",TRIM($B9))</f>
        <v/>
      </c>
      <c r="P9" s="14" t="str">
        <f aca="false">IF($A9="","",IFERROR(VALUE($C9),$C9))</f>
        <v/>
      </c>
      <c r="Q9" s="14" t="str">
        <f aca="false">IF($A9="","",IFERROR(VALUE($D9),$D9))</f>
        <v/>
      </c>
      <c r="R9" s="14" t="str">
        <f aca="false">IF($A9="","",IFERROR(VALUE($E9),$E9))</f>
        <v/>
      </c>
      <c r="S9" s="14" t="str">
        <f aca="false">IF($A9="","",IFERROR(VALUE($F9),$F9))</f>
        <v/>
      </c>
      <c r="T9" s="14" t="str">
        <f aca="false">IF($A9="","",IFERROR(VALUE($G9),$G9))</f>
        <v/>
      </c>
      <c r="U9" s="14" t="str">
        <f aca="false">IF($A9="","",IFERROR(VALUE($H9),$H9))</f>
        <v/>
      </c>
      <c r="V9" s="14" t="str">
        <f aca="false">IF($A9="","",IFERROR(VALUE($I9),$I9))</f>
        <v/>
      </c>
      <c r="W9" s="14" t="str">
        <f aca="false">IF($A9="","",IFERROR(VALUE($J9),$J9))</f>
        <v/>
      </c>
      <c r="X9" s="14" t="str">
        <f aca="false">IF($A9="","",$B$5)</f>
        <v/>
      </c>
      <c r="Y9" s="14" t="str">
        <f aca="true">IF($A9="","",TODAY())</f>
        <v/>
      </c>
    </row>
    <row r="10" customFormat="false" ht="15" hidden="false" customHeight="false" outlineLevel="0" collapsed="false">
      <c r="A10" s="14"/>
      <c r="B10" s="14"/>
      <c r="C10" s="14"/>
      <c r="D10" s="14"/>
      <c r="E10" s="14"/>
      <c r="F10" s="14"/>
      <c r="G10" s="14"/>
      <c r="H10" s="14"/>
      <c r="I10" s="14"/>
      <c r="J10" s="14"/>
      <c r="M10" s="14" t="str">
        <f aca="false">IF($A10="","",$B$4)</f>
        <v/>
      </c>
      <c r="N10" s="14" t="str">
        <f aca="false">IF($A10="","",TRIM($A10))</f>
        <v/>
      </c>
      <c r="O10" s="14" t="str">
        <f aca="false">IF($A10="","",TRIM($B10))</f>
        <v/>
      </c>
      <c r="P10" s="14" t="str">
        <f aca="false">IF($A10="","",IFERROR(VALUE($C10),$C10))</f>
        <v/>
      </c>
      <c r="Q10" s="14" t="str">
        <f aca="false">IF($A10="","",IFERROR(VALUE($D10),$D10))</f>
        <v/>
      </c>
      <c r="R10" s="14" t="str">
        <f aca="false">IF($A10="","",IFERROR(VALUE($E10),$E10))</f>
        <v/>
      </c>
      <c r="S10" s="14" t="str">
        <f aca="false">IF($A10="","",IFERROR(VALUE($F10),$F10))</f>
        <v/>
      </c>
      <c r="T10" s="14" t="str">
        <f aca="false">IF($A10="","",IFERROR(VALUE($G10),$G10))</f>
        <v/>
      </c>
      <c r="U10" s="14" t="str">
        <f aca="false">IF($A10="","",IFERROR(VALUE($H10),$H10))</f>
        <v/>
      </c>
      <c r="V10" s="14" t="str">
        <f aca="false">IF($A10="","",IFERROR(VALUE($I10),$I10))</f>
        <v/>
      </c>
      <c r="W10" s="14" t="str">
        <f aca="false">IF($A10="","",IFERROR(VALUE($J10),$J10))</f>
        <v/>
      </c>
      <c r="X10" s="14" t="str">
        <f aca="false">IF($A10="","",$B$5)</f>
        <v/>
      </c>
      <c r="Y10" s="14" t="str">
        <f aca="true">IF($A10="","",TODAY())</f>
        <v/>
      </c>
    </row>
    <row r="11" customFormat="false" ht="15" hidden="false" customHeight="false" outlineLevel="0" collapsed="false">
      <c r="A11" s="14"/>
      <c r="B11" s="14"/>
      <c r="C11" s="14"/>
      <c r="D11" s="14"/>
      <c r="E11" s="14"/>
      <c r="F11" s="14"/>
      <c r="G11" s="14"/>
      <c r="H11" s="14"/>
      <c r="I11" s="14"/>
      <c r="J11" s="14"/>
      <c r="M11" s="14" t="str">
        <f aca="false">IF($A11="","",$B$4)</f>
        <v/>
      </c>
      <c r="N11" s="14" t="str">
        <f aca="false">IF($A11="","",TRIM($A11))</f>
        <v/>
      </c>
      <c r="O11" s="14" t="str">
        <f aca="false">IF($A11="","",TRIM($B11))</f>
        <v/>
      </c>
      <c r="P11" s="14" t="str">
        <f aca="false">IF($A11="","",IFERROR(VALUE($C11),$C11))</f>
        <v/>
      </c>
      <c r="Q11" s="14" t="str">
        <f aca="false">IF($A11="","",IFERROR(VALUE($D11),$D11))</f>
        <v/>
      </c>
      <c r="R11" s="14" t="str">
        <f aca="false">IF($A11="","",IFERROR(VALUE($E11),$E11))</f>
        <v/>
      </c>
      <c r="S11" s="14" t="str">
        <f aca="false">IF($A11="","",IFERROR(VALUE($F11),$F11))</f>
        <v/>
      </c>
      <c r="T11" s="14" t="str">
        <f aca="false">IF($A11="","",IFERROR(VALUE($G11),$G11))</f>
        <v/>
      </c>
      <c r="U11" s="14" t="str">
        <f aca="false">IF($A11="","",IFERROR(VALUE($H11),$H11))</f>
        <v/>
      </c>
      <c r="V11" s="14" t="str">
        <f aca="false">IF($A11="","",IFERROR(VALUE($I11),$I11))</f>
        <v/>
      </c>
      <c r="W11" s="14" t="str">
        <f aca="false">IF($A11="","",IFERROR(VALUE($J11),$J11))</f>
        <v/>
      </c>
      <c r="X11" s="14" t="str">
        <f aca="false">IF($A11="","",$B$5)</f>
        <v/>
      </c>
      <c r="Y11" s="14" t="str">
        <f aca="true">IF($A11="","",TODAY())</f>
        <v/>
      </c>
    </row>
    <row r="12" customFormat="false" ht="15" hidden="false" customHeight="false" outlineLevel="0" collapsed="false">
      <c r="A12" s="14"/>
      <c r="B12" s="14"/>
      <c r="C12" s="14"/>
      <c r="D12" s="14"/>
      <c r="E12" s="14"/>
      <c r="F12" s="14"/>
      <c r="G12" s="14"/>
      <c r="H12" s="14"/>
      <c r="I12" s="14"/>
      <c r="J12" s="14"/>
      <c r="M12" s="14" t="str">
        <f aca="false">IF($A12="","",$B$4)</f>
        <v/>
      </c>
      <c r="N12" s="14" t="str">
        <f aca="false">IF($A12="","",TRIM($A12))</f>
        <v/>
      </c>
      <c r="O12" s="14" t="str">
        <f aca="false">IF($A12="","",TRIM($B12))</f>
        <v/>
      </c>
      <c r="P12" s="14" t="str">
        <f aca="false">IF($A12="","",IFERROR(VALUE($C12),$C12))</f>
        <v/>
      </c>
      <c r="Q12" s="14" t="str">
        <f aca="false">IF($A12="","",IFERROR(VALUE($D12),$D12))</f>
        <v/>
      </c>
      <c r="R12" s="14" t="str">
        <f aca="false">IF($A12="","",IFERROR(VALUE($E12),$E12))</f>
        <v/>
      </c>
      <c r="S12" s="14" t="str">
        <f aca="false">IF($A12="","",IFERROR(VALUE($F12),$F12))</f>
        <v/>
      </c>
      <c r="T12" s="14" t="str">
        <f aca="false">IF($A12="","",IFERROR(VALUE($G12),$G12))</f>
        <v/>
      </c>
      <c r="U12" s="14" t="str">
        <f aca="false">IF($A12="","",IFERROR(VALUE($H12),$H12))</f>
        <v/>
      </c>
      <c r="V12" s="14" t="str">
        <f aca="false">IF($A12="","",IFERROR(VALUE($I12),$I12))</f>
        <v/>
      </c>
      <c r="W12" s="14" t="str">
        <f aca="false">IF($A12="","",IFERROR(VALUE($J12),$J12))</f>
        <v/>
      </c>
      <c r="X12" s="14" t="str">
        <f aca="false">IF($A12="","",$B$5)</f>
        <v/>
      </c>
      <c r="Y12" s="14" t="str">
        <f aca="true">IF($A12="","",TODAY())</f>
        <v/>
      </c>
    </row>
    <row r="13" customFormat="false" ht="15" hidden="false" customHeight="false" outlineLevel="0" collapsed="false">
      <c r="A13" s="14"/>
      <c r="B13" s="14"/>
      <c r="C13" s="14"/>
      <c r="D13" s="14"/>
      <c r="E13" s="14"/>
      <c r="F13" s="14"/>
      <c r="G13" s="14"/>
      <c r="H13" s="14"/>
      <c r="I13" s="14"/>
      <c r="J13" s="14"/>
      <c r="M13" s="14" t="str">
        <f aca="false">IF($A13="","",$B$4)</f>
        <v/>
      </c>
      <c r="N13" s="14" t="str">
        <f aca="false">IF($A13="","",TRIM($A13))</f>
        <v/>
      </c>
      <c r="O13" s="14" t="str">
        <f aca="false">IF($A13="","",TRIM($B13))</f>
        <v/>
      </c>
      <c r="P13" s="14" t="str">
        <f aca="false">IF($A13="","",IFERROR(VALUE($C13),$C13))</f>
        <v/>
      </c>
      <c r="Q13" s="14" t="str">
        <f aca="false">IF($A13="","",IFERROR(VALUE($D13),$D13))</f>
        <v/>
      </c>
      <c r="R13" s="14" t="str">
        <f aca="false">IF($A13="","",IFERROR(VALUE($E13),$E13))</f>
        <v/>
      </c>
      <c r="S13" s="14" t="str">
        <f aca="false">IF($A13="","",IFERROR(VALUE($F13),$F13))</f>
        <v/>
      </c>
      <c r="T13" s="14" t="str">
        <f aca="false">IF($A13="","",IFERROR(VALUE($G13),$G13))</f>
        <v/>
      </c>
      <c r="U13" s="14" t="str">
        <f aca="false">IF($A13="","",IFERROR(VALUE($H13),$H13))</f>
        <v/>
      </c>
      <c r="V13" s="14" t="str">
        <f aca="false">IF($A13="","",IFERROR(VALUE($I13),$I13))</f>
        <v/>
      </c>
      <c r="W13" s="14" t="str">
        <f aca="false">IF($A13="","",IFERROR(VALUE($J13),$J13))</f>
        <v/>
      </c>
      <c r="X13" s="14" t="str">
        <f aca="false">IF($A13="","",$B$5)</f>
        <v/>
      </c>
      <c r="Y13" s="14" t="str">
        <f aca="true">IF($A13="","",TODAY())</f>
        <v/>
      </c>
    </row>
    <row r="14" customFormat="false" ht="15" hidden="false" customHeight="false" outlineLevel="0" collapsed="false">
      <c r="A14" s="14"/>
      <c r="B14" s="14"/>
      <c r="C14" s="14"/>
      <c r="D14" s="14"/>
      <c r="E14" s="14"/>
      <c r="F14" s="14"/>
      <c r="G14" s="14"/>
      <c r="H14" s="14"/>
      <c r="I14" s="14"/>
      <c r="J14" s="14"/>
      <c r="M14" s="14" t="str">
        <f aca="false">IF($A14="","",$B$4)</f>
        <v/>
      </c>
      <c r="N14" s="14" t="str">
        <f aca="false">IF($A14="","",TRIM($A14))</f>
        <v/>
      </c>
      <c r="O14" s="14" t="str">
        <f aca="false">IF($A14="","",TRIM($B14))</f>
        <v/>
      </c>
      <c r="P14" s="14" t="str">
        <f aca="false">IF($A14="","",IFERROR(VALUE($C14),$C14))</f>
        <v/>
      </c>
      <c r="Q14" s="14" t="str">
        <f aca="false">IF($A14="","",IFERROR(VALUE($D14),$D14))</f>
        <v/>
      </c>
      <c r="R14" s="14" t="str">
        <f aca="false">IF($A14="","",IFERROR(VALUE($E14),$E14))</f>
        <v/>
      </c>
      <c r="S14" s="14" t="str">
        <f aca="false">IF($A14="","",IFERROR(VALUE($F14),$F14))</f>
        <v/>
      </c>
      <c r="T14" s="14" t="str">
        <f aca="false">IF($A14="","",IFERROR(VALUE($G14),$G14))</f>
        <v/>
      </c>
      <c r="U14" s="14" t="str">
        <f aca="false">IF($A14="","",IFERROR(VALUE($H14),$H14))</f>
        <v/>
      </c>
      <c r="V14" s="14" t="str">
        <f aca="false">IF($A14="","",IFERROR(VALUE($I14),$I14))</f>
        <v/>
      </c>
      <c r="W14" s="14" t="str">
        <f aca="false">IF($A14="","",IFERROR(VALUE($J14),$J14))</f>
        <v/>
      </c>
      <c r="X14" s="14" t="str">
        <f aca="false">IF($A14="","",$B$5)</f>
        <v/>
      </c>
      <c r="Y14" s="14" t="str">
        <f aca="true">IF($A14="","",TODAY())</f>
        <v/>
      </c>
    </row>
    <row r="15" customFormat="false" ht="15" hidden="false" customHeight="false" outlineLevel="0" collapsed="false">
      <c r="A15" s="14"/>
      <c r="B15" s="14"/>
      <c r="C15" s="14"/>
      <c r="D15" s="14"/>
      <c r="E15" s="14"/>
      <c r="F15" s="14"/>
      <c r="G15" s="14"/>
      <c r="H15" s="14"/>
      <c r="I15" s="14"/>
      <c r="J15" s="14"/>
      <c r="M15" s="14" t="str">
        <f aca="false">IF($A15="","",$B$4)</f>
        <v/>
      </c>
      <c r="N15" s="14" t="str">
        <f aca="false">IF($A15="","",TRIM($A15))</f>
        <v/>
      </c>
      <c r="O15" s="14" t="str">
        <f aca="false">IF($A15="","",TRIM($B15))</f>
        <v/>
      </c>
      <c r="P15" s="14" t="str">
        <f aca="false">IF($A15="","",IFERROR(VALUE($C15),$C15))</f>
        <v/>
      </c>
      <c r="Q15" s="14" t="str">
        <f aca="false">IF($A15="","",IFERROR(VALUE($D15),$D15))</f>
        <v/>
      </c>
      <c r="R15" s="14" t="str">
        <f aca="false">IF($A15="","",IFERROR(VALUE($E15),$E15))</f>
        <v/>
      </c>
      <c r="S15" s="14" t="str">
        <f aca="false">IF($A15="","",IFERROR(VALUE($F15),$F15))</f>
        <v/>
      </c>
      <c r="T15" s="14" t="str">
        <f aca="false">IF($A15="","",IFERROR(VALUE($G15),$G15))</f>
        <v/>
      </c>
      <c r="U15" s="14" t="str">
        <f aca="false">IF($A15="","",IFERROR(VALUE($H15),$H15))</f>
        <v/>
      </c>
      <c r="V15" s="14" t="str">
        <f aca="false">IF($A15="","",IFERROR(VALUE($I15),$I15))</f>
        <v/>
      </c>
      <c r="W15" s="14" t="str">
        <f aca="false">IF($A15="","",IFERROR(VALUE($J15),$J15))</f>
        <v/>
      </c>
      <c r="X15" s="14" t="str">
        <f aca="false">IF($A15="","",$B$5)</f>
        <v/>
      </c>
      <c r="Y15" s="14" t="str">
        <f aca="true">IF($A15="","",TODAY())</f>
        <v/>
      </c>
    </row>
    <row r="16" customFormat="false" ht="15" hidden="false" customHeight="false" outlineLevel="0" collapsed="false">
      <c r="A16" s="14"/>
      <c r="B16" s="14"/>
      <c r="C16" s="14"/>
      <c r="D16" s="14"/>
      <c r="E16" s="14"/>
      <c r="F16" s="14"/>
      <c r="G16" s="14"/>
      <c r="H16" s="14"/>
      <c r="I16" s="14"/>
      <c r="J16" s="14"/>
      <c r="M16" s="14" t="str">
        <f aca="false">IF($A16="","",$B$4)</f>
        <v/>
      </c>
      <c r="N16" s="14" t="str">
        <f aca="false">IF($A16="","",TRIM($A16))</f>
        <v/>
      </c>
      <c r="O16" s="14" t="str">
        <f aca="false">IF($A16="","",TRIM($B16))</f>
        <v/>
      </c>
      <c r="P16" s="14" t="str">
        <f aca="false">IF($A16="","",IFERROR(VALUE($C16),$C16))</f>
        <v/>
      </c>
      <c r="Q16" s="14" t="str">
        <f aca="false">IF($A16="","",IFERROR(VALUE($D16),$D16))</f>
        <v/>
      </c>
      <c r="R16" s="14" t="str">
        <f aca="false">IF($A16="","",IFERROR(VALUE($E16),$E16))</f>
        <v/>
      </c>
      <c r="S16" s="14" t="str">
        <f aca="false">IF($A16="","",IFERROR(VALUE($F16),$F16))</f>
        <v/>
      </c>
      <c r="T16" s="14" t="str">
        <f aca="false">IF($A16="","",IFERROR(VALUE($G16),$G16))</f>
        <v/>
      </c>
      <c r="U16" s="14" t="str">
        <f aca="false">IF($A16="","",IFERROR(VALUE($H16),$H16))</f>
        <v/>
      </c>
      <c r="V16" s="14" t="str">
        <f aca="false">IF($A16="","",IFERROR(VALUE($I16),$I16))</f>
        <v/>
      </c>
      <c r="W16" s="14" t="str">
        <f aca="false">IF($A16="","",IFERROR(VALUE($J16),$J16))</f>
        <v/>
      </c>
      <c r="X16" s="14" t="str">
        <f aca="false">IF($A16="","",$B$5)</f>
        <v/>
      </c>
      <c r="Y16" s="14" t="str">
        <f aca="true">IF($A16="","",TODAY())</f>
        <v/>
      </c>
    </row>
    <row r="17" customFormat="false" ht="15" hidden="false" customHeight="false" outlineLevel="0" collapsed="false">
      <c r="A17" s="14"/>
      <c r="B17" s="14"/>
      <c r="C17" s="14"/>
      <c r="D17" s="14"/>
      <c r="E17" s="14"/>
      <c r="F17" s="14"/>
      <c r="G17" s="14"/>
      <c r="H17" s="14"/>
      <c r="I17" s="14"/>
      <c r="J17" s="14"/>
      <c r="M17" s="14" t="str">
        <f aca="false">IF($A17="","",$B$4)</f>
        <v/>
      </c>
      <c r="N17" s="14" t="str">
        <f aca="false">IF($A17="","",TRIM($A17))</f>
        <v/>
      </c>
      <c r="O17" s="14" t="str">
        <f aca="false">IF($A17="","",TRIM($B17))</f>
        <v/>
      </c>
      <c r="P17" s="14" t="str">
        <f aca="false">IF($A17="","",IFERROR(VALUE($C17),$C17))</f>
        <v/>
      </c>
      <c r="Q17" s="14" t="str">
        <f aca="false">IF($A17="","",IFERROR(VALUE($D17),$D17))</f>
        <v/>
      </c>
      <c r="R17" s="14" t="str">
        <f aca="false">IF($A17="","",IFERROR(VALUE($E17),$E17))</f>
        <v/>
      </c>
      <c r="S17" s="14" t="str">
        <f aca="false">IF($A17="","",IFERROR(VALUE($F17),$F17))</f>
        <v/>
      </c>
      <c r="T17" s="14" t="str">
        <f aca="false">IF($A17="","",IFERROR(VALUE($G17),$G17))</f>
        <v/>
      </c>
      <c r="U17" s="14" t="str">
        <f aca="false">IF($A17="","",IFERROR(VALUE($H17),$H17))</f>
        <v/>
      </c>
      <c r="V17" s="14" t="str">
        <f aca="false">IF($A17="","",IFERROR(VALUE($I17),$I17))</f>
        <v/>
      </c>
      <c r="W17" s="14" t="str">
        <f aca="false">IF($A17="","",IFERROR(VALUE($J17),$J17))</f>
        <v/>
      </c>
      <c r="X17" s="14" t="str">
        <f aca="false">IF($A17="","",$B$5)</f>
        <v/>
      </c>
      <c r="Y17" s="14" t="str">
        <f aca="true">IF($A17="","",TODAY())</f>
        <v/>
      </c>
    </row>
    <row r="18" customFormat="false" ht="15" hidden="false" customHeight="false" outlineLevel="0" collapsed="false">
      <c r="A18" s="14"/>
      <c r="B18" s="14"/>
      <c r="C18" s="14"/>
      <c r="D18" s="14"/>
      <c r="E18" s="14"/>
      <c r="F18" s="14"/>
      <c r="G18" s="14"/>
      <c r="H18" s="14"/>
      <c r="I18" s="14"/>
      <c r="J18" s="14"/>
      <c r="M18" s="14" t="str">
        <f aca="false">IF($A18="","",$B$4)</f>
        <v/>
      </c>
      <c r="N18" s="14" t="str">
        <f aca="false">IF($A18="","",TRIM($A18))</f>
        <v/>
      </c>
      <c r="O18" s="14" t="str">
        <f aca="false">IF($A18="","",TRIM($B18))</f>
        <v/>
      </c>
      <c r="P18" s="14" t="str">
        <f aca="false">IF($A18="","",IFERROR(VALUE($C18),$C18))</f>
        <v/>
      </c>
      <c r="Q18" s="14" t="str">
        <f aca="false">IF($A18="","",IFERROR(VALUE($D18),$D18))</f>
        <v/>
      </c>
      <c r="R18" s="14" t="str">
        <f aca="false">IF($A18="","",IFERROR(VALUE($E18),$E18))</f>
        <v/>
      </c>
      <c r="S18" s="14" t="str">
        <f aca="false">IF($A18="","",IFERROR(VALUE($F18),$F18))</f>
        <v/>
      </c>
      <c r="T18" s="14" t="str">
        <f aca="false">IF($A18="","",IFERROR(VALUE($G18),$G18))</f>
        <v/>
      </c>
      <c r="U18" s="14" t="str">
        <f aca="false">IF($A18="","",IFERROR(VALUE($H18),$H18))</f>
        <v/>
      </c>
      <c r="V18" s="14" t="str">
        <f aca="false">IF($A18="","",IFERROR(VALUE($I18),$I18))</f>
        <v/>
      </c>
      <c r="W18" s="14" t="str">
        <f aca="false">IF($A18="","",IFERROR(VALUE($J18),$J18))</f>
        <v/>
      </c>
      <c r="X18" s="14" t="str">
        <f aca="false">IF($A18="","",$B$5)</f>
        <v/>
      </c>
      <c r="Y18" s="14" t="str">
        <f aca="true">IF($A18="","",TODAY())</f>
        <v/>
      </c>
    </row>
    <row r="19" customFormat="false" ht="15" hidden="false" customHeight="false" outlineLevel="0" collapsed="false">
      <c r="A19" s="14"/>
      <c r="B19" s="14"/>
      <c r="C19" s="14"/>
      <c r="D19" s="14"/>
      <c r="E19" s="14"/>
      <c r="F19" s="14"/>
      <c r="G19" s="14"/>
      <c r="H19" s="14"/>
      <c r="I19" s="14"/>
      <c r="J19" s="14"/>
      <c r="M19" s="14" t="str">
        <f aca="false">IF($A19="","",$B$4)</f>
        <v/>
      </c>
      <c r="N19" s="14" t="str">
        <f aca="false">IF($A19="","",TRIM($A19))</f>
        <v/>
      </c>
      <c r="O19" s="14" t="str">
        <f aca="false">IF($A19="","",TRIM($B19))</f>
        <v/>
      </c>
      <c r="P19" s="14" t="str">
        <f aca="false">IF($A19="","",IFERROR(VALUE($C19),$C19))</f>
        <v/>
      </c>
      <c r="Q19" s="14" t="str">
        <f aca="false">IF($A19="","",IFERROR(VALUE($D19),$D19))</f>
        <v/>
      </c>
      <c r="R19" s="14" t="str">
        <f aca="false">IF($A19="","",IFERROR(VALUE($E19),$E19))</f>
        <v/>
      </c>
      <c r="S19" s="14" t="str">
        <f aca="false">IF($A19="","",IFERROR(VALUE($F19),$F19))</f>
        <v/>
      </c>
      <c r="T19" s="14" t="str">
        <f aca="false">IF($A19="","",IFERROR(VALUE($G19),$G19))</f>
        <v/>
      </c>
      <c r="U19" s="14" t="str">
        <f aca="false">IF($A19="","",IFERROR(VALUE($H19),$H19))</f>
        <v/>
      </c>
      <c r="V19" s="14" t="str">
        <f aca="false">IF($A19="","",IFERROR(VALUE($I19),$I19))</f>
        <v/>
      </c>
      <c r="W19" s="14" t="str">
        <f aca="false">IF($A19="","",IFERROR(VALUE($J19),$J19))</f>
        <v/>
      </c>
      <c r="X19" s="14" t="str">
        <f aca="false">IF($A19="","",$B$5)</f>
        <v/>
      </c>
      <c r="Y19" s="14" t="str">
        <f aca="true">IF($A19="","",TODAY())</f>
        <v/>
      </c>
    </row>
    <row r="20" customFormat="false" ht="15" hidden="false" customHeight="false" outlineLevel="0" collapsed="false">
      <c r="A20" s="14"/>
      <c r="B20" s="14"/>
      <c r="C20" s="14"/>
      <c r="D20" s="14"/>
      <c r="E20" s="14"/>
      <c r="F20" s="14"/>
      <c r="G20" s="14"/>
      <c r="H20" s="14"/>
      <c r="I20" s="14"/>
      <c r="J20" s="14"/>
      <c r="M20" s="14" t="str">
        <f aca="false">IF($A20="","",$B$4)</f>
        <v/>
      </c>
      <c r="N20" s="14" t="str">
        <f aca="false">IF($A20="","",TRIM($A20))</f>
        <v/>
      </c>
      <c r="O20" s="14" t="str">
        <f aca="false">IF($A20="","",TRIM($B20))</f>
        <v/>
      </c>
      <c r="P20" s="14" t="str">
        <f aca="false">IF($A20="","",IFERROR(VALUE($C20),$C20))</f>
        <v/>
      </c>
      <c r="Q20" s="14" t="str">
        <f aca="false">IF($A20="","",IFERROR(VALUE($D20),$D20))</f>
        <v/>
      </c>
      <c r="R20" s="14" t="str">
        <f aca="false">IF($A20="","",IFERROR(VALUE($E20),$E20))</f>
        <v/>
      </c>
      <c r="S20" s="14" t="str">
        <f aca="false">IF($A20="","",IFERROR(VALUE($F20),$F20))</f>
        <v/>
      </c>
      <c r="T20" s="14" t="str">
        <f aca="false">IF($A20="","",IFERROR(VALUE($G20),$G20))</f>
        <v/>
      </c>
      <c r="U20" s="14" t="str">
        <f aca="false">IF($A20="","",IFERROR(VALUE($H20),$H20))</f>
        <v/>
      </c>
      <c r="V20" s="14" t="str">
        <f aca="false">IF($A20="","",IFERROR(VALUE($I20),$I20))</f>
        <v/>
      </c>
      <c r="W20" s="14" t="str">
        <f aca="false">IF($A20="","",IFERROR(VALUE($J20),$J20))</f>
        <v/>
      </c>
      <c r="X20" s="14" t="str">
        <f aca="false">IF($A20="","",$B$5)</f>
        <v/>
      </c>
      <c r="Y20" s="14" t="str">
        <f aca="true">IF($A20="","",TODAY())</f>
        <v/>
      </c>
    </row>
    <row r="21" customFormat="false" ht="15" hidden="false" customHeight="false" outlineLevel="0" collapsed="false">
      <c r="A21" s="14"/>
      <c r="B21" s="14"/>
      <c r="C21" s="14"/>
      <c r="D21" s="14"/>
      <c r="E21" s="14"/>
      <c r="F21" s="14"/>
      <c r="G21" s="14"/>
      <c r="H21" s="14"/>
      <c r="I21" s="14"/>
      <c r="J21" s="14"/>
      <c r="M21" s="14" t="str">
        <f aca="false">IF($A21="","",$B$4)</f>
        <v/>
      </c>
      <c r="N21" s="14" t="str">
        <f aca="false">IF($A21="","",TRIM($A21))</f>
        <v/>
      </c>
      <c r="O21" s="14" t="str">
        <f aca="false">IF($A21="","",TRIM($B21))</f>
        <v/>
      </c>
      <c r="P21" s="14" t="str">
        <f aca="false">IF($A21="","",IFERROR(VALUE($C21),$C21))</f>
        <v/>
      </c>
      <c r="Q21" s="14" t="str">
        <f aca="false">IF($A21="","",IFERROR(VALUE($D21),$D21))</f>
        <v/>
      </c>
      <c r="R21" s="14" t="str">
        <f aca="false">IF($A21="","",IFERROR(VALUE($E21),$E21))</f>
        <v/>
      </c>
      <c r="S21" s="14" t="str">
        <f aca="false">IF($A21="","",IFERROR(VALUE($F21),$F21))</f>
        <v/>
      </c>
      <c r="T21" s="14" t="str">
        <f aca="false">IF($A21="","",IFERROR(VALUE($G21),$G21))</f>
        <v/>
      </c>
      <c r="U21" s="14" t="str">
        <f aca="false">IF($A21="","",IFERROR(VALUE($H21),$H21))</f>
        <v/>
      </c>
      <c r="V21" s="14" t="str">
        <f aca="false">IF($A21="","",IFERROR(VALUE($I21),$I21))</f>
        <v/>
      </c>
      <c r="W21" s="14" t="str">
        <f aca="false">IF($A21="","",IFERROR(VALUE($J21),$J21))</f>
        <v/>
      </c>
      <c r="X21" s="14" t="str">
        <f aca="false">IF($A21="","",$B$5)</f>
        <v/>
      </c>
      <c r="Y21" s="14" t="str">
        <f aca="true">IF($A21="","",TODAY())</f>
        <v/>
      </c>
    </row>
    <row r="22" customFormat="false" ht="15" hidden="false" customHeight="false" outlineLevel="0" collapsed="false">
      <c r="A22" s="14"/>
      <c r="B22" s="14"/>
      <c r="C22" s="14"/>
      <c r="D22" s="14"/>
      <c r="E22" s="14"/>
      <c r="F22" s="14"/>
      <c r="G22" s="14"/>
      <c r="H22" s="14"/>
      <c r="I22" s="14"/>
      <c r="J22" s="14"/>
      <c r="M22" s="14" t="str">
        <f aca="false">IF($A22="","",$B$4)</f>
        <v/>
      </c>
      <c r="N22" s="14" t="str">
        <f aca="false">IF($A22="","",TRIM($A22))</f>
        <v/>
      </c>
      <c r="O22" s="14" t="str">
        <f aca="false">IF($A22="","",TRIM($B22))</f>
        <v/>
      </c>
      <c r="P22" s="14" t="str">
        <f aca="false">IF($A22="","",IFERROR(VALUE($C22),$C22))</f>
        <v/>
      </c>
      <c r="Q22" s="14" t="str">
        <f aca="false">IF($A22="","",IFERROR(VALUE($D22),$D22))</f>
        <v/>
      </c>
      <c r="R22" s="14" t="str">
        <f aca="false">IF($A22="","",IFERROR(VALUE($E22),$E22))</f>
        <v/>
      </c>
      <c r="S22" s="14" t="str">
        <f aca="false">IF($A22="","",IFERROR(VALUE($F22),$F22))</f>
        <v/>
      </c>
      <c r="T22" s="14" t="str">
        <f aca="false">IF($A22="","",IFERROR(VALUE($G22),$G22))</f>
        <v/>
      </c>
      <c r="U22" s="14" t="str">
        <f aca="false">IF($A22="","",IFERROR(VALUE($H22),$H22))</f>
        <v/>
      </c>
      <c r="V22" s="14" t="str">
        <f aca="false">IF($A22="","",IFERROR(VALUE($I22),$I22))</f>
        <v/>
      </c>
      <c r="W22" s="14" t="str">
        <f aca="false">IF($A22="","",IFERROR(VALUE($J22),$J22))</f>
        <v/>
      </c>
      <c r="X22" s="14" t="str">
        <f aca="false">IF($A22="","",$B$5)</f>
        <v/>
      </c>
      <c r="Y22" s="14" t="str">
        <f aca="true">IF($A22="","",TODAY())</f>
        <v/>
      </c>
    </row>
    <row r="23" customFormat="false" ht="15" hidden="false" customHeight="false" outlineLevel="0" collapsed="false">
      <c r="A23" s="14"/>
      <c r="B23" s="14"/>
      <c r="C23" s="14"/>
      <c r="D23" s="14"/>
      <c r="E23" s="14"/>
      <c r="F23" s="14"/>
      <c r="G23" s="14"/>
      <c r="H23" s="14"/>
      <c r="I23" s="14"/>
      <c r="J23" s="14"/>
      <c r="M23" s="14" t="str">
        <f aca="false">IF($A23="","",$B$4)</f>
        <v/>
      </c>
      <c r="N23" s="14" t="str">
        <f aca="false">IF($A23="","",TRIM($A23))</f>
        <v/>
      </c>
      <c r="O23" s="14" t="str">
        <f aca="false">IF($A23="","",TRIM($B23))</f>
        <v/>
      </c>
      <c r="P23" s="14" t="str">
        <f aca="false">IF($A23="","",IFERROR(VALUE($C23),$C23))</f>
        <v/>
      </c>
      <c r="Q23" s="14" t="str">
        <f aca="false">IF($A23="","",IFERROR(VALUE($D23),$D23))</f>
        <v/>
      </c>
      <c r="R23" s="14" t="str">
        <f aca="false">IF($A23="","",IFERROR(VALUE($E23),$E23))</f>
        <v/>
      </c>
      <c r="S23" s="14" t="str">
        <f aca="false">IF($A23="","",IFERROR(VALUE($F23),$F23))</f>
        <v/>
      </c>
      <c r="T23" s="14" t="str">
        <f aca="false">IF($A23="","",IFERROR(VALUE($G23),$G23))</f>
        <v/>
      </c>
      <c r="U23" s="14" t="str">
        <f aca="false">IF($A23="","",IFERROR(VALUE($H23),$H23))</f>
        <v/>
      </c>
      <c r="V23" s="14" t="str">
        <f aca="false">IF($A23="","",IFERROR(VALUE($I23),$I23))</f>
        <v/>
      </c>
      <c r="W23" s="14" t="str">
        <f aca="false">IF($A23="","",IFERROR(VALUE($J23),$J23))</f>
        <v/>
      </c>
      <c r="X23" s="14" t="str">
        <f aca="false">IF($A23="","",$B$5)</f>
        <v/>
      </c>
      <c r="Y23" s="14" t="str">
        <f aca="true">IF($A23="","",TODAY())</f>
        <v/>
      </c>
    </row>
    <row r="24" customFormat="false" ht="15" hidden="false" customHeight="false" outlineLevel="0" collapsed="false">
      <c r="A24" s="14"/>
      <c r="B24" s="14"/>
      <c r="C24" s="14"/>
      <c r="D24" s="14"/>
      <c r="E24" s="14"/>
      <c r="F24" s="14"/>
      <c r="G24" s="14"/>
      <c r="H24" s="14"/>
      <c r="I24" s="14"/>
      <c r="J24" s="14"/>
      <c r="M24" s="14" t="str">
        <f aca="false">IF($A24="","",$B$4)</f>
        <v/>
      </c>
      <c r="N24" s="14" t="str">
        <f aca="false">IF($A24="","",TRIM($A24))</f>
        <v/>
      </c>
      <c r="O24" s="14" t="str">
        <f aca="false">IF($A24="","",TRIM($B24))</f>
        <v/>
      </c>
      <c r="P24" s="14" t="str">
        <f aca="false">IF($A24="","",IFERROR(VALUE($C24),$C24))</f>
        <v/>
      </c>
      <c r="Q24" s="14" t="str">
        <f aca="false">IF($A24="","",IFERROR(VALUE($D24),$D24))</f>
        <v/>
      </c>
      <c r="R24" s="14" t="str">
        <f aca="false">IF($A24="","",IFERROR(VALUE($E24),$E24))</f>
        <v/>
      </c>
      <c r="S24" s="14" t="str">
        <f aca="false">IF($A24="","",IFERROR(VALUE($F24),$F24))</f>
        <v/>
      </c>
      <c r="T24" s="14" t="str">
        <f aca="false">IF($A24="","",IFERROR(VALUE($G24),$G24))</f>
        <v/>
      </c>
      <c r="U24" s="14" t="str">
        <f aca="false">IF($A24="","",IFERROR(VALUE($H24),$H24))</f>
        <v/>
      </c>
      <c r="V24" s="14" t="str">
        <f aca="false">IF($A24="","",IFERROR(VALUE($I24),$I24))</f>
        <v/>
      </c>
      <c r="W24" s="14" t="str">
        <f aca="false">IF($A24="","",IFERROR(VALUE($J24),$J24))</f>
        <v/>
      </c>
      <c r="X24" s="14" t="str">
        <f aca="false">IF($A24="","",$B$5)</f>
        <v/>
      </c>
      <c r="Y24" s="14" t="str">
        <f aca="true">IF($A24="","",TODAY())</f>
        <v/>
      </c>
    </row>
    <row r="25" customFormat="false" ht="15" hidden="false" customHeight="false" outlineLevel="0" collapsed="false">
      <c r="A25" s="14"/>
      <c r="B25" s="14"/>
      <c r="C25" s="14"/>
      <c r="D25" s="14"/>
      <c r="E25" s="14"/>
      <c r="F25" s="14"/>
      <c r="G25" s="14"/>
      <c r="H25" s="14"/>
      <c r="I25" s="14"/>
      <c r="J25" s="14"/>
      <c r="M25" s="14" t="str">
        <f aca="false">IF($A25="","",$B$4)</f>
        <v/>
      </c>
      <c r="N25" s="14" t="str">
        <f aca="false">IF($A25="","",TRIM($A25))</f>
        <v/>
      </c>
      <c r="O25" s="14" t="str">
        <f aca="false">IF($A25="","",TRIM($B25))</f>
        <v/>
      </c>
      <c r="P25" s="14" t="str">
        <f aca="false">IF($A25="","",IFERROR(VALUE($C25),$C25))</f>
        <v/>
      </c>
      <c r="Q25" s="14" t="str">
        <f aca="false">IF($A25="","",IFERROR(VALUE($D25),$D25))</f>
        <v/>
      </c>
      <c r="R25" s="14" t="str">
        <f aca="false">IF($A25="","",IFERROR(VALUE($E25),$E25))</f>
        <v/>
      </c>
      <c r="S25" s="14" t="str">
        <f aca="false">IF($A25="","",IFERROR(VALUE($F25),$F25))</f>
        <v/>
      </c>
      <c r="T25" s="14" t="str">
        <f aca="false">IF($A25="","",IFERROR(VALUE($G25),$G25))</f>
        <v/>
      </c>
      <c r="U25" s="14" t="str">
        <f aca="false">IF($A25="","",IFERROR(VALUE($H25),$H25))</f>
        <v/>
      </c>
      <c r="V25" s="14" t="str">
        <f aca="false">IF($A25="","",IFERROR(VALUE($I25),$I25))</f>
        <v/>
      </c>
      <c r="W25" s="14" t="str">
        <f aca="false">IF($A25="","",IFERROR(VALUE($J25),$J25))</f>
        <v/>
      </c>
      <c r="X25" s="14" t="str">
        <f aca="false">IF($A25="","",$B$5)</f>
        <v/>
      </c>
      <c r="Y25" s="14" t="str">
        <f aca="true">IF($A25="","",TODAY())</f>
        <v/>
      </c>
    </row>
    <row r="26" customFormat="false" ht="15" hidden="false" customHeight="false" outlineLevel="0" collapsed="false">
      <c r="A26" s="14"/>
      <c r="B26" s="14"/>
      <c r="C26" s="14"/>
      <c r="D26" s="14"/>
      <c r="E26" s="14"/>
      <c r="F26" s="14"/>
      <c r="G26" s="14"/>
      <c r="H26" s="14"/>
      <c r="I26" s="14"/>
      <c r="J26" s="14"/>
      <c r="M26" s="14" t="str">
        <f aca="false">IF($A26="","",$B$4)</f>
        <v/>
      </c>
      <c r="N26" s="14" t="str">
        <f aca="false">IF($A26="","",TRIM($A26))</f>
        <v/>
      </c>
      <c r="O26" s="14" t="str">
        <f aca="false">IF($A26="","",TRIM($B26))</f>
        <v/>
      </c>
      <c r="P26" s="14" t="str">
        <f aca="false">IF($A26="","",IFERROR(VALUE($C26),$C26))</f>
        <v/>
      </c>
      <c r="Q26" s="14" t="str">
        <f aca="false">IF($A26="","",IFERROR(VALUE($D26),$D26))</f>
        <v/>
      </c>
      <c r="R26" s="14" t="str">
        <f aca="false">IF($A26="","",IFERROR(VALUE($E26),$E26))</f>
        <v/>
      </c>
      <c r="S26" s="14" t="str">
        <f aca="false">IF($A26="","",IFERROR(VALUE($F26),$F26))</f>
        <v/>
      </c>
      <c r="T26" s="14" t="str">
        <f aca="false">IF($A26="","",IFERROR(VALUE($G26),$G26))</f>
        <v/>
      </c>
      <c r="U26" s="14" t="str">
        <f aca="false">IF($A26="","",IFERROR(VALUE($H26),$H26))</f>
        <v/>
      </c>
      <c r="V26" s="14" t="str">
        <f aca="false">IF($A26="","",IFERROR(VALUE($I26),$I26))</f>
        <v/>
      </c>
      <c r="W26" s="14" t="str">
        <f aca="false">IF($A26="","",IFERROR(VALUE($J26),$J26))</f>
        <v/>
      </c>
      <c r="X26" s="14" t="str">
        <f aca="false">IF($A26="","",$B$5)</f>
        <v/>
      </c>
      <c r="Y26" s="14" t="str">
        <f aca="true">IF($A26="","",TODAY())</f>
        <v/>
      </c>
    </row>
    <row r="27" customFormat="false" ht="15" hidden="false" customHeight="false" outlineLevel="0" collapsed="false">
      <c r="A27" s="14"/>
      <c r="B27" s="14"/>
      <c r="C27" s="14"/>
      <c r="D27" s="14"/>
      <c r="E27" s="14"/>
      <c r="F27" s="14"/>
      <c r="G27" s="14"/>
      <c r="H27" s="14"/>
      <c r="I27" s="14"/>
      <c r="J27" s="14"/>
      <c r="M27" s="14" t="str">
        <f aca="false">IF($A27="","",$B$4)</f>
        <v/>
      </c>
      <c r="N27" s="14" t="str">
        <f aca="false">IF($A27="","",TRIM($A27))</f>
        <v/>
      </c>
      <c r="O27" s="14" t="str">
        <f aca="false">IF($A27="","",TRIM($B27))</f>
        <v/>
      </c>
      <c r="P27" s="14" t="str">
        <f aca="false">IF($A27="","",IFERROR(VALUE($C27),$C27))</f>
        <v/>
      </c>
      <c r="Q27" s="14" t="str">
        <f aca="false">IF($A27="","",IFERROR(VALUE($D27),$D27))</f>
        <v/>
      </c>
      <c r="R27" s="14" t="str">
        <f aca="false">IF($A27="","",IFERROR(VALUE($E27),$E27))</f>
        <v/>
      </c>
      <c r="S27" s="14" t="str">
        <f aca="false">IF($A27="","",IFERROR(VALUE($F27),$F27))</f>
        <v/>
      </c>
      <c r="T27" s="14" t="str">
        <f aca="false">IF($A27="","",IFERROR(VALUE($G27),$G27))</f>
        <v/>
      </c>
      <c r="U27" s="14" t="str">
        <f aca="false">IF($A27="","",IFERROR(VALUE($H27),$H27))</f>
        <v/>
      </c>
      <c r="V27" s="14" t="str">
        <f aca="false">IF($A27="","",IFERROR(VALUE($I27),$I27))</f>
        <v/>
      </c>
      <c r="W27" s="14" t="str">
        <f aca="false">IF($A27="","",IFERROR(VALUE($J27),$J27))</f>
        <v/>
      </c>
      <c r="X27" s="14" t="str">
        <f aca="false">IF($A27="","",$B$5)</f>
        <v/>
      </c>
      <c r="Y27" s="14" t="str">
        <f aca="true">IF($A27="","",TODAY())</f>
        <v/>
      </c>
    </row>
    <row r="28" customFormat="false" ht="15" hidden="false" customHeight="false" outlineLevel="0" collapsed="false">
      <c r="A28" s="14"/>
      <c r="B28" s="14"/>
      <c r="C28" s="14"/>
      <c r="D28" s="14"/>
      <c r="E28" s="14"/>
      <c r="F28" s="14"/>
      <c r="G28" s="14"/>
      <c r="H28" s="14"/>
      <c r="I28" s="14"/>
      <c r="J28" s="14"/>
      <c r="M28" s="14" t="str">
        <f aca="false">IF($A28="","",$B$4)</f>
        <v/>
      </c>
      <c r="N28" s="14" t="str">
        <f aca="false">IF($A28="","",TRIM($A28))</f>
        <v/>
      </c>
      <c r="O28" s="14" t="str">
        <f aca="false">IF($A28="","",TRIM($B28))</f>
        <v/>
      </c>
      <c r="P28" s="14" t="str">
        <f aca="false">IF($A28="","",IFERROR(VALUE($C28),$C28))</f>
        <v/>
      </c>
      <c r="Q28" s="14" t="str">
        <f aca="false">IF($A28="","",IFERROR(VALUE($D28),$D28))</f>
        <v/>
      </c>
      <c r="R28" s="14" t="str">
        <f aca="false">IF($A28="","",IFERROR(VALUE($E28),$E28))</f>
        <v/>
      </c>
      <c r="S28" s="14" t="str">
        <f aca="false">IF($A28="","",IFERROR(VALUE($F28),$F28))</f>
        <v/>
      </c>
      <c r="T28" s="14" t="str">
        <f aca="false">IF($A28="","",IFERROR(VALUE($G28),$G28))</f>
        <v/>
      </c>
      <c r="U28" s="14" t="str">
        <f aca="false">IF($A28="","",IFERROR(VALUE($H28),$H28))</f>
        <v/>
      </c>
      <c r="V28" s="14" t="str">
        <f aca="false">IF($A28="","",IFERROR(VALUE($I28),$I28))</f>
        <v/>
      </c>
      <c r="W28" s="14" t="str">
        <f aca="false">IF($A28="","",IFERROR(VALUE($J28),$J28))</f>
        <v/>
      </c>
      <c r="X28" s="14" t="str">
        <f aca="false">IF($A28="","",$B$5)</f>
        <v/>
      </c>
      <c r="Y28" s="14" t="str">
        <f aca="true">IF($A28="","",TODAY())</f>
        <v/>
      </c>
    </row>
    <row r="29" customFormat="false" ht="15" hidden="false" customHeight="false" outlineLevel="0" collapsed="false">
      <c r="A29" s="14"/>
      <c r="B29" s="14"/>
      <c r="C29" s="14"/>
      <c r="D29" s="14"/>
      <c r="E29" s="14"/>
      <c r="F29" s="14"/>
      <c r="G29" s="14"/>
      <c r="H29" s="14"/>
      <c r="I29" s="14"/>
      <c r="J29" s="14"/>
      <c r="M29" s="14" t="str">
        <f aca="false">IF($A29="","",$B$4)</f>
        <v/>
      </c>
      <c r="N29" s="14" t="str">
        <f aca="false">IF($A29="","",TRIM($A29))</f>
        <v/>
      </c>
      <c r="O29" s="14" t="str">
        <f aca="false">IF($A29="","",TRIM($B29))</f>
        <v/>
      </c>
      <c r="P29" s="14" t="str">
        <f aca="false">IF($A29="","",IFERROR(VALUE($C29),$C29))</f>
        <v/>
      </c>
      <c r="Q29" s="14" t="str">
        <f aca="false">IF($A29="","",IFERROR(VALUE($D29),$D29))</f>
        <v/>
      </c>
      <c r="R29" s="14" t="str">
        <f aca="false">IF($A29="","",IFERROR(VALUE($E29),$E29))</f>
        <v/>
      </c>
      <c r="S29" s="14" t="str">
        <f aca="false">IF($A29="","",IFERROR(VALUE($F29),$F29))</f>
        <v/>
      </c>
      <c r="T29" s="14" t="str">
        <f aca="false">IF($A29="","",IFERROR(VALUE($G29),$G29))</f>
        <v/>
      </c>
      <c r="U29" s="14" t="str">
        <f aca="false">IF($A29="","",IFERROR(VALUE($H29),$H29))</f>
        <v/>
      </c>
      <c r="V29" s="14" t="str">
        <f aca="false">IF($A29="","",IFERROR(VALUE($I29),$I29))</f>
        <v/>
      </c>
      <c r="W29" s="14" t="str">
        <f aca="false">IF($A29="","",IFERROR(VALUE($J29),$J29))</f>
        <v/>
      </c>
      <c r="X29" s="14" t="str">
        <f aca="false">IF($A29="","",$B$5)</f>
        <v/>
      </c>
      <c r="Y29" s="14" t="str">
        <f aca="true">IF($A29="","",TODAY())</f>
        <v/>
      </c>
    </row>
    <row r="30" customFormat="false" ht="15" hidden="false" customHeight="false" outlineLevel="0" collapsed="false">
      <c r="A30" s="14"/>
      <c r="B30" s="14"/>
      <c r="C30" s="14"/>
      <c r="D30" s="14"/>
      <c r="E30" s="14"/>
      <c r="F30" s="14"/>
      <c r="G30" s="14"/>
      <c r="H30" s="14"/>
      <c r="I30" s="14"/>
      <c r="J30" s="14"/>
      <c r="M30" s="14" t="str">
        <f aca="false">IF($A30="","",$B$4)</f>
        <v/>
      </c>
      <c r="N30" s="14" t="str">
        <f aca="false">IF($A30="","",TRIM($A30))</f>
        <v/>
      </c>
      <c r="O30" s="14" t="str">
        <f aca="false">IF($A30="","",TRIM($B30))</f>
        <v/>
      </c>
      <c r="P30" s="14" t="str">
        <f aca="false">IF($A30="","",IFERROR(VALUE($C30),$C30))</f>
        <v/>
      </c>
      <c r="Q30" s="14" t="str">
        <f aca="false">IF($A30="","",IFERROR(VALUE($D30),$D30))</f>
        <v/>
      </c>
      <c r="R30" s="14" t="str">
        <f aca="false">IF($A30="","",IFERROR(VALUE($E30),$E30))</f>
        <v/>
      </c>
      <c r="S30" s="14" t="str">
        <f aca="false">IF($A30="","",IFERROR(VALUE($F30),$F30))</f>
        <v/>
      </c>
      <c r="T30" s="14" t="str">
        <f aca="false">IF($A30="","",IFERROR(VALUE($G30),$G30))</f>
        <v/>
      </c>
      <c r="U30" s="14" t="str">
        <f aca="false">IF($A30="","",IFERROR(VALUE($H30),$H30))</f>
        <v/>
      </c>
      <c r="V30" s="14" t="str">
        <f aca="false">IF($A30="","",IFERROR(VALUE($I30),$I30))</f>
        <v/>
      </c>
      <c r="W30" s="14" t="str">
        <f aca="false">IF($A30="","",IFERROR(VALUE($J30),$J30))</f>
        <v/>
      </c>
      <c r="X30" s="14" t="str">
        <f aca="false">IF($A30="","",$B$5)</f>
        <v/>
      </c>
      <c r="Y30" s="14" t="str">
        <f aca="true">IF($A30="","",TODAY())</f>
        <v/>
      </c>
    </row>
    <row r="31" customFormat="false" ht="15" hidden="false" customHeight="false" outlineLevel="0" collapsed="false">
      <c r="A31" s="14"/>
      <c r="B31" s="14"/>
      <c r="C31" s="14"/>
      <c r="D31" s="14"/>
      <c r="E31" s="14"/>
      <c r="F31" s="14"/>
      <c r="G31" s="14"/>
      <c r="H31" s="14"/>
      <c r="I31" s="14"/>
      <c r="J31" s="14"/>
      <c r="M31" s="14" t="str">
        <f aca="false">IF($A31="","",$B$4)</f>
        <v/>
      </c>
      <c r="N31" s="14" t="str">
        <f aca="false">IF($A31="","",TRIM($A31))</f>
        <v/>
      </c>
      <c r="O31" s="14" t="str">
        <f aca="false">IF($A31="","",TRIM($B31))</f>
        <v/>
      </c>
      <c r="P31" s="14" t="str">
        <f aca="false">IF($A31="","",IFERROR(VALUE($C31),$C31))</f>
        <v/>
      </c>
      <c r="Q31" s="14" t="str">
        <f aca="false">IF($A31="","",IFERROR(VALUE($D31),$D31))</f>
        <v/>
      </c>
      <c r="R31" s="14" t="str">
        <f aca="false">IF($A31="","",IFERROR(VALUE($E31),$E31))</f>
        <v/>
      </c>
      <c r="S31" s="14" t="str">
        <f aca="false">IF($A31="","",IFERROR(VALUE($F31),$F31))</f>
        <v/>
      </c>
      <c r="T31" s="14" t="str">
        <f aca="false">IF($A31="","",IFERROR(VALUE($G31),$G31))</f>
        <v/>
      </c>
      <c r="U31" s="14" t="str">
        <f aca="false">IF($A31="","",IFERROR(VALUE($H31),$H31))</f>
        <v/>
      </c>
      <c r="V31" s="14" t="str">
        <f aca="false">IF($A31="","",IFERROR(VALUE($I31),$I31))</f>
        <v/>
      </c>
      <c r="W31" s="14" t="str">
        <f aca="false">IF($A31="","",IFERROR(VALUE($J31),$J31))</f>
        <v/>
      </c>
      <c r="X31" s="14" t="str">
        <f aca="false">IF($A31="","",$B$5)</f>
        <v/>
      </c>
      <c r="Y31" s="14" t="str">
        <f aca="true">IF($A31="","",TODAY())</f>
        <v/>
      </c>
    </row>
    <row r="32" customFormat="false" ht="15" hidden="false" customHeight="false" outlineLevel="0" collapsed="false">
      <c r="A32" s="14"/>
      <c r="B32" s="14"/>
      <c r="C32" s="14"/>
      <c r="D32" s="14"/>
      <c r="E32" s="14"/>
      <c r="F32" s="14"/>
      <c r="G32" s="14"/>
      <c r="H32" s="14"/>
      <c r="I32" s="14"/>
      <c r="J32" s="14"/>
      <c r="M32" s="14" t="str">
        <f aca="false">IF($A32="","",$B$4)</f>
        <v/>
      </c>
      <c r="N32" s="14" t="str">
        <f aca="false">IF($A32="","",TRIM($A32))</f>
        <v/>
      </c>
      <c r="O32" s="14" t="str">
        <f aca="false">IF($A32="","",TRIM($B32))</f>
        <v/>
      </c>
      <c r="P32" s="14" t="str">
        <f aca="false">IF($A32="","",IFERROR(VALUE($C32),$C32))</f>
        <v/>
      </c>
      <c r="Q32" s="14" t="str">
        <f aca="false">IF($A32="","",IFERROR(VALUE($D32),$D32))</f>
        <v/>
      </c>
      <c r="R32" s="14" t="str">
        <f aca="false">IF($A32="","",IFERROR(VALUE($E32),$E32))</f>
        <v/>
      </c>
      <c r="S32" s="14" t="str">
        <f aca="false">IF($A32="","",IFERROR(VALUE($F32),$F32))</f>
        <v/>
      </c>
      <c r="T32" s="14" t="str">
        <f aca="false">IF($A32="","",IFERROR(VALUE($G32),$G32))</f>
        <v/>
      </c>
      <c r="U32" s="14" t="str">
        <f aca="false">IF($A32="","",IFERROR(VALUE($H32),$H32))</f>
        <v/>
      </c>
      <c r="V32" s="14" t="str">
        <f aca="false">IF($A32="","",IFERROR(VALUE($I32),$I32))</f>
        <v/>
      </c>
      <c r="W32" s="14" t="str">
        <f aca="false">IF($A32="","",IFERROR(VALUE($J32),$J32))</f>
        <v/>
      </c>
      <c r="X32" s="14" t="str">
        <f aca="false">IF($A32="","",$B$5)</f>
        <v/>
      </c>
      <c r="Y32" s="14" t="str">
        <f aca="true">IF($A32="","",TODAY())</f>
        <v/>
      </c>
    </row>
    <row r="33" customFormat="false" ht="15" hidden="false" customHeight="false" outlineLevel="0" collapsed="false">
      <c r="A33" s="14"/>
      <c r="B33" s="14"/>
      <c r="C33" s="14"/>
      <c r="D33" s="14"/>
      <c r="E33" s="14"/>
      <c r="F33" s="14"/>
      <c r="G33" s="14"/>
      <c r="H33" s="14"/>
      <c r="I33" s="14"/>
      <c r="J33" s="14"/>
      <c r="M33" s="14" t="str">
        <f aca="false">IF($A33="","",$B$4)</f>
        <v/>
      </c>
      <c r="N33" s="14" t="str">
        <f aca="false">IF($A33="","",TRIM($A33))</f>
        <v/>
      </c>
      <c r="O33" s="14" t="str">
        <f aca="false">IF($A33="","",TRIM($B33))</f>
        <v/>
      </c>
      <c r="P33" s="14" t="str">
        <f aca="false">IF($A33="","",IFERROR(VALUE($C33),$C33))</f>
        <v/>
      </c>
      <c r="Q33" s="14" t="str">
        <f aca="false">IF($A33="","",IFERROR(VALUE($D33),$D33))</f>
        <v/>
      </c>
      <c r="R33" s="14" t="str">
        <f aca="false">IF($A33="","",IFERROR(VALUE($E33),$E33))</f>
        <v/>
      </c>
      <c r="S33" s="14" t="str">
        <f aca="false">IF($A33="","",IFERROR(VALUE($F33),$F33))</f>
        <v/>
      </c>
      <c r="T33" s="14" t="str">
        <f aca="false">IF($A33="","",IFERROR(VALUE($G33),$G33))</f>
        <v/>
      </c>
      <c r="U33" s="14" t="str">
        <f aca="false">IF($A33="","",IFERROR(VALUE($H33),$H33))</f>
        <v/>
      </c>
      <c r="V33" s="14" t="str">
        <f aca="false">IF($A33="","",IFERROR(VALUE($I33),$I33))</f>
        <v/>
      </c>
      <c r="W33" s="14" t="str">
        <f aca="false">IF($A33="","",IFERROR(VALUE($J33),$J33))</f>
        <v/>
      </c>
      <c r="X33" s="14" t="str">
        <f aca="false">IF($A33="","",$B$5)</f>
        <v/>
      </c>
      <c r="Y33" s="14" t="str">
        <f aca="true">IF($A33="","",TODAY())</f>
        <v/>
      </c>
    </row>
    <row r="34" customFormat="false" ht="15" hidden="false" customHeight="false" outlineLevel="0" collapsed="false">
      <c r="A34" s="14"/>
      <c r="B34" s="14"/>
      <c r="C34" s="14"/>
      <c r="D34" s="14"/>
      <c r="E34" s="14"/>
      <c r="F34" s="14"/>
      <c r="G34" s="14"/>
      <c r="H34" s="14"/>
      <c r="I34" s="14"/>
      <c r="J34" s="14"/>
      <c r="M34" s="14" t="str">
        <f aca="false">IF($A34="","",$B$4)</f>
        <v/>
      </c>
      <c r="N34" s="14" t="str">
        <f aca="false">IF($A34="","",TRIM($A34))</f>
        <v/>
      </c>
      <c r="O34" s="14" t="str">
        <f aca="false">IF($A34="","",TRIM($B34))</f>
        <v/>
      </c>
      <c r="P34" s="14" t="str">
        <f aca="false">IF($A34="","",IFERROR(VALUE($C34),$C34))</f>
        <v/>
      </c>
      <c r="Q34" s="14" t="str">
        <f aca="false">IF($A34="","",IFERROR(VALUE($D34),$D34))</f>
        <v/>
      </c>
      <c r="R34" s="14" t="str">
        <f aca="false">IF($A34="","",IFERROR(VALUE($E34),$E34))</f>
        <v/>
      </c>
      <c r="S34" s="14" t="str">
        <f aca="false">IF($A34="","",IFERROR(VALUE($F34),$F34))</f>
        <v/>
      </c>
      <c r="T34" s="14" t="str">
        <f aca="false">IF($A34="","",IFERROR(VALUE($G34),$G34))</f>
        <v/>
      </c>
      <c r="U34" s="14" t="str">
        <f aca="false">IF($A34="","",IFERROR(VALUE($H34),$H34))</f>
        <v/>
      </c>
      <c r="V34" s="14" t="str">
        <f aca="false">IF($A34="","",IFERROR(VALUE($I34),$I34))</f>
        <v/>
      </c>
      <c r="W34" s="14" t="str">
        <f aca="false">IF($A34="","",IFERROR(VALUE($J34),$J34))</f>
        <v/>
      </c>
      <c r="X34" s="14" t="str">
        <f aca="false">IF($A34="","",$B$5)</f>
        <v/>
      </c>
      <c r="Y34" s="14" t="str">
        <f aca="true">IF($A34="","",TODAY())</f>
        <v/>
      </c>
    </row>
    <row r="35" customFormat="false" ht="15" hidden="false" customHeight="false" outlineLevel="0" collapsed="false">
      <c r="A35" s="14"/>
      <c r="B35" s="14"/>
      <c r="C35" s="14"/>
      <c r="D35" s="14"/>
      <c r="E35" s="14"/>
      <c r="F35" s="14"/>
      <c r="G35" s="14"/>
      <c r="H35" s="14"/>
      <c r="I35" s="14"/>
      <c r="J35" s="14"/>
      <c r="M35" s="14" t="str">
        <f aca="false">IF($A35="","",$B$4)</f>
        <v/>
      </c>
      <c r="N35" s="14" t="str">
        <f aca="false">IF($A35="","",TRIM($A35))</f>
        <v/>
      </c>
      <c r="O35" s="14" t="str">
        <f aca="false">IF($A35="","",TRIM($B35))</f>
        <v/>
      </c>
      <c r="P35" s="14" t="str">
        <f aca="false">IF($A35="","",IFERROR(VALUE($C35),$C35))</f>
        <v/>
      </c>
      <c r="Q35" s="14" t="str">
        <f aca="false">IF($A35="","",IFERROR(VALUE($D35),$D35))</f>
        <v/>
      </c>
      <c r="R35" s="14" t="str">
        <f aca="false">IF($A35="","",IFERROR(VALUE($E35),$E35))</f>
        <v/>
      </c>
      <c r="S35" s="14" t="str">
        <f aca="false">IF($A35="","",IFERROR(VALUE($F35),$F35))</f>
        <v/>
      </c>
      <c r="T35" s="14" t="str">
        <f aca="false">IF($A35="","",IFERROR(VALUE($G35),$G35))</f>
        <v/>
      </c>
      <c r="U35" s="14" t="str">
        <f aca="false">IF($A35="","",IFERROR(VALUE($H35),$H35))</f>
        <v/>
      </c>
      <c r="V35" s="14" t="str">
        <f aca="false">IF($A35="","",IFERROR(VALUE($I35),$I35))</f>
        <v/>
      </c>
      <c r="W35" s="14" t="str">
        <f aca="false">IF($A35="","",IFERROR(VALUE($J35),$J35))</f>
        <v/>
      </c>
      <c r="X35" s="14" t="str">
        <f aca="false">IF($A35="","",$B$5)</f>
        <v/>
      </c>
      <c r="Y35" s="14" t="str">
        <f aca="true">IF($A35="","",TODAY())</f>
        <v/>
      </c>
    </row>
    <row r="36" customFormat="false" ht="15" hidden="false" customHeight="false" outlineLevel="0" collapsed="false">
      <c r="A36" s="14"/>
      <c r="B36" s="14"/>
      <c r="C36" s="14"/>
      <c r="D36" s="14"/>
      <c r="E36" s="14"/>
      <c r="F36" s="14"/>
      <c r="G36" s="14"/>
      <c r="H36" s="14"/>
      <c r="I36" s="14"/>
      <c r="J36" s="14"/>
      <c r="M36" s="14" t="str">
        <f aca="false">IF($A36="","",$B$4)</f>
        <v/>
      </c>
      <c r="N36" s="14" t="str">
        <f aca="false">IF($A36="","",TRIM($A36))</f>
        <v/>
      </c>
      <c r="O36" s="14" t="str">
        <f aca="false">IF($A36="","",TRIM($B36))</f>
        <v/>
      </c>
      <c r="P36" s="14" t="str">
        <f aca="false">IF($A36="","",IFERROR(VALUE($C36),$C36))</f>
        <v/>
      </c>
      <c r="Q36" s="14" t="str">
        <f aca="false">IF($A36="","",IFERROR(VALUE($D36),$D36))</f>
        <v/>
      </c>
      <c r="R36" s="14" t="str">
        <f aca="false">IF($A36="","",IFERROR(VALUE($E36),$E36))</f>
        <v/>
      </c>
      <c r="S36" s="14" t="str">
        <f aca="false">IF($A36="","",IFERROR(VALUE($F36),$F36))</f>
        <v/>
      </c>
      <c r="T36" s="14" t="str">
        <f aca="false">IF($A36="","",IFERROR(VALUE($G36),$G36))</f>
        <v/>
      </c>
      <c r="U36" s="14" t="str">
        <f aca="false">IF($A36="","",IFERROR(VALUE($H36),$H36))</f>
        <v/>
      </c>
      <c r="V36" s="14" t="str">
        <f aca="false">IF($A36="","",IFERROR(VALUE($I36),$I36))</f>
        <v/>
      </c>
      <c r="W36" s="14" t="str">
        <f aca="false">IF($A36="","",IFERROR(VALUE($J36),$J36))</f>
        <v/>
      </c>
      <c r="X36" s="14" t="str">
        <f aca="false">IF($A36="","",$B$5)</f>
        <v/>
      </c>
      <c r="Y36" s="14" t="str">
        <f aca="true">IF($A36="","",TODAY())</f>
        <v/>
      </c>
    </row>
    <row r="37" customFormat="false" ht="15" hidden="false" customHeight="false" outlineLevel="0" collapsed="false">
      <c r="A37" s="14"/>
      <c r="B37" s="14"/>
      <c r="C37" s="14"/>
      <c r="D37" s="14"/>
      <c r="E37" s="14"/>
      <c r="F37" s="14"/>
      <c r="G37" s="14"/>
      <c r="H37" s="14"/>
      <c r="I37" s="14"/>
      <c r="J37" s="14"/>
      <c r="M37" s="14" t="str">
        <f aca="false">IF($A37="","",$B$4)</f>
        <v/>
      </c>
      <c r="N37" s="14" t="str">
        <f aca="false">IF($A37="","",TRIM($A37))</f>
        <v/>
      </c>
      <c r="O37" s="14" t="str">
        <f aca="false">IF($A37="","",TRIM($B37))</f>
        <v/>
      </c>
      <c r="P37" s="14" t="str">
        <f aca="false">IF($A37="","",IFERROR(VALUE($C37),$C37))</f>
        <v/>
      </c>
      <c r="Q37" s="14" t="str">
        <f aca="false">IF($A37="","",IFERROR(VALUE($D37),$D37))</f>
        <v/>
      </c>
      <c r="R37" s="14" t="str">
        <f aca="false">IF($A37="","",IFERROR(VALUE($E37),$E37))</f>
        <v/>
      </c>
      <c r="S37" s="14" t="str">
        <f aca="false">IF($A37="","",IFERROR(VALUE($F37),$F37))</f>
        <v/>
      </c>
      <c r="T37" s="14" t="str">
        <f aca="false">IF($A37="","",IFERROR(VALUE($G37),$G37))</f>
        <v/>
      </c>
      <c r="U37" s="14" t="str">
        <f aca="false">IF($A37="","",IFERROR(VALUE($H37),$H37))</f>
        <v/>
      </c>
      <c r="V37" s="14" t="str">
        <f aca="false">IF($A37="","",IFERROR(VALUE($I37),$I37))</f>
        <v/>
      </c>
      <c r="W37" s="14" t="str">
        <f aca="false">IF($A37="","",IFERROR(VALUE($J37),$J37))</f>
        <v/>
      </c>
      <c r="X37" s="14" t="str">
        <f aca="false">IF($A37="","",$B$5)</f>
        <v/>
      </c>
      <c r="Y37" s="14" t="str">
        <f aca="true">IF($A37="","",TODAY())</f>
        <v/>
      </c>
    </row>
    <row r="38" customFormat="false" ht="15" hidden="false" customHeight="false" outlineLevel="0" collapsed="false">
      <c r="A38" s="14"/>
      <c r="B38" s="14"/>
      <c r="C38" s="14"/>
      <c r="D38" s="14"/>
      <c r="E38" s="14"/>
      <c r="F38" s="14"/>
      <c r="G38" s="14"/>
      <c r="H38" s="14"/>
      <c r="I38" s="14"/>
      <c r="J38" s="14"/>
      <c r="M38" s="14" t="str">
        <f aca="false">IF($A38="","",$B$4)</f>
        <v/>
      </c>
      <c r="N38" s="14" t="str">
        <f aca="false">IF($A38="","",TRIM($A38))</f>
        <v/>
      </c>
      <c r="O38" s="14" t="str">
        <f aca="false">IF($A38="","",TRIM($B38))</f>
        <v/>
      </c>
      <c r="P38" s="14" t="str">
        <f aca="false">IF($A38="","",IFERROR(VALUE($C38),$C38))</f>
        <v/>
      </c>
      <c r="Q38" s="14" t="str">
        <f aca="false">IF($A38="","",IFERROR(VALUE($D38),$D38))</f>
        <v/>
      </c>
      <c r="R38" s="14" t="str">
        <f aca="false">IF($A38="","",IFERROR(VALUE($E38),$E38))</f>
        <v/>
      </c>
      <c r="S38" s="14" t="str">
        <f aca="false">IF($A38="","",IFERROR(VALUE($F38),$F38))</f>
        <v/>
      </c>
      <c r="T38" s="14" t="str">
        <f aca="false">IF($A38="","",IFERROR(VALUE($G38),$G38))</f>
        <v/>
      </c>
      <c r="U38" s="14" t="str">
        <f aca="false">IF($A38="","",IFERROR(VALUE($H38),$H38))</f>
        <v/>
      </c>
      <c r="V38" s="14" t="str">
        <f aca="false">IF($A38="","",IFERROR(VALUE($I38),$I38))</f>
        <v/>
      </c>
      <c r="W38" s="14" t="str">
        <f aca="false">IF($A38="","",IFERROR(VALUE($J38),$J38))</f>
        <v/>
      </c>
      <c r="X38" s="14" t="str">
        <f aca="false">IF($A38="","",$B$5)</f>
        <v/>
      </c>
      <c r="Y38" s="14" t="str">
        <f aca="true">IF($A38="","",TODAY())</f>
        <v/>
      </c>
    </row>
    <row r="39" customFormat="false" ht="15" hidden="false" customHeight="false" outlineLevel="0" collapsed="false">
      <c r="A39" s="14"/>
      <c r="B39" s="14"/>
      <c r="C39" s="14"/>
      <c r="D39" s="14"/>
      <c r="E39" s="14"/>
      <c r="F39" s="14"/>
      <c r="G39" s="14"/>
      <c r="H39" s="14"/>
      <c r="I39" s="14"/>
      <c r="J39" s="14"/>
      <c r="M39" s="14" t="str">
        <f aca="false">IF($A39="","",$B$4)</f>
        <v/>
      </c>
      <c r="N39" s="14" t="str">
        <f aca="false">IF($A39="","",TRIM($A39))</f>
        <v/>
      </c>
      <c r="O39" s="14" t="str">
        <f aca="false">IF($A39="","",TRIM($B39))</f>
        <v/>
      </c>
      <c r="P39" s="14" t="str">
        <f aca="false">IF($A39="","",IFERROR(VALUE($C39),$C39))</f>
        <v/>
      </c>
      <c r="Q39" s="14" t="str">
        <f aca="false">IF($A39="","",IFERROR(VALUE($D39),$D39))</f>
        <v/>
      </c>
      <c r="R39" s="14" t="str">
        <f aca="false">IF($A39="","",IFERROR(VALUE($E39),$E39))</f>
        <v/>
      </c>
      <c r="S39" s="14" t="str">
        <f aca="false">IF($A39="","",IFERROR(VALUE($F39),$F39))</f>
        <v/>
      </c>
      <c r="T39" s="14" t="str">
        <f aca="false">IF($A39="","",IFERROR(VALUE($G39),$G39))</f>
        <v/>
      </c>
      <c r="U39" s="14" t="str">
        <f aca="false">IF($A39="","",IFERROR(VALUE($H39),$H39))</f>
        <v/>
      </c>
      <c r="V39" s="14" t="str">
        <f aca="false">IF($A39="","",IFERROR(VALUE($I39),$I39))</f>
        <v/>
      </c>
      <c r="W39" s="14" t="str">
        <f aca="false">IF($A39="","",IFERROR(VALUE($J39),$J39))</f>
        <v/>
      </c>
      <c r="X39" s="14" t="str">
        <f aca="false">IF($A39="","",$B$5)</f>
        <v/>
      </c>
      <c r="Y39" s="14" t="str">
        <f aca="true">IF($A39="","",TODAY())</f>
        <v/>
      </c>
    </row>
    <row r="40" customFormat="false" ht="15" hidden="false" customHeight="false" outlineLevel="0" collapsed="false">
      <c r="A40" s="14"/>
      <c r="B40" s="14"/>
      <c r="C40" s="14"/>
      <c r="D40" s="14"/>
      <c r="E40" s="14"/>
      <c r="F40" s="14"/>
      <c r="G40" s="14"/>
      <c r="H40" s="14"/>
      <c r="I40" s="14"/>
      <c r="J40" s="14"/>
      <c r="M40" s="14" t="str">
        <f aca="false">IF($A40="","",$B$4)</f>
        <v/>
      </c>
      <c r="N40" s="14" t="str">
        <f aca="false">IF($A40="","",TRIM($A40))</f>
        <v/>
      </c>
      <c r="O40" s="14" t="str">
        <f aca="false">IF($A40="","",TRIM($B40))</f>
        <v/>
      </c>
      <c r="P40" s="14" t="str">
        <f aca="false">IF($A40="","",IFERROR(VALUE($C40),$C40))</f>
        <v/>
      </c>
      <c r="Q40" s="14" t="str">
        <f aca="false">IF($A40="","",IFERROR(VALUE($D40),$D40))</f>
        <v/>
      </c>
      <c r="R40" s="14" t="str">
        <f aca="false">IF($A40="","",IFERROR(VALUE($E40),$E40))</f>
        <v/>
      </c>
      <c r="S40" s="14" t="str">
        <f aca="false">IF($A40="","",IFERROR(VALUE($F40),$F40))</f>
        <v/>
      </c>
      <c r="T40" s="14" t="str">
        <f aca="false">IF($A40="","",IFERROR(VALUE($G40),$G40))</f>
        <v/>
      </c>
      <c r="U40" s="14" t="str">
        <f aca="false">IF($A40="","",IFERROR(VALUE($H40),$H40))</f>
        <v/>
      </c>
      <c r="V40" s="14" t="str">
        <f aca="false">IF($A40="","",IFERROR(VALUE($I40),$I40))</f>
        <v/>
      </c>
      <c r="W40" s="14" t="str">
        <f aca="false">IF($A40="","",IFERROR(VALUE($J40),$J40))</f>
        <v/>
      </c>
      <c r="X40" s="14" t="str">
        <f aca="false">IF($A40="","",$B$5)</f>
        <v/>
      </c>
      <c r="Y40" s="14" t="str">
        <f aca="true">IF($A40="","",TODAY())</f>
        <v/>
      </c>
    </row>
    <row r="41" customFormat="false" ht="15" hidden="false" customHeight="false" outlineLevel="0" collapsed="false">
      <c r="A41" s="14"/>
      <c r="B41" s="14"/>
      <c r="C41" s="14"/>
      <c r="D41" s="14"/>
      <c r="E41" s="14"/>
      <c r="F41" s="14"/>
      <c r="G41" s="14"/>
      <c r="H41" s="14"/>
      <c r="I41" s="14"/>
      <c r="J41" s="14"/>
      <c r="M41" s="14" t="str">
        <f aca="false">IF($A41="","",$B$4)</f>
        <v/>
      </c>
      <c r="N41" s="14" t="str">
        <f aca="false">IF($A41="","",TRIM($A41))</f>
        <v/>
      </c>
      <c r="O41" s="14" t="str">
        <f aca="false">IF($A41="","",TRIM($B41))</f>
        <v/>
      </c>
      <c r="P41" s="14" t="str">
        <f aca="false">IF($A41="","",IFERROR(VALUE($C41),$C41))</f>
        <v/>
      </c>
      <c r="Q41" s="14" t="str">
        <f aca="false">IF($A41="","",IFERROR(VALUE($D41),$D41))</f>
        <v/>
      </c>
      <c r="R41" s="14" t="str">
        <f aca="false">IF($A41="","",IFERROR(VALUE($E41),$E41))</f>
        <v/>
      </c>
      <c r="S41" s="14" t="str">
        <f aca="false">IF($A41="","",IFERROR(VALUE($F41),$F41))</f>
        <v/>
      </c>
      <c r="T41" s="14" t="str">
        <f aca="false">IF($A41="","",IFERROR(VALUE($G41),$G41))</f>
        <v/>
      </c>
      <c r="U41" s="14" t="str">
        <f aca="false">IF($A41="","",IFERROR(VALUE($H41),$H41))</f>
        <v/>
      </c>
      <c r="V41" s="14" t="str">
        <f aca="false">IF($A41="","",IFERROR(VALUE($I41),$I41))</f>
        <v/>
      </c>
      <c r="W41" s="14" t="str">
        <f aca="false">IF($A41="","",IFERROR(VALUE($J41),$J41))</f>
        <v/>
      </c>
      <c r="X41" s="14" t="str">
        <f aca="false">IF($A41="","",$B$5)</f>
        <v/>
      </c>
      <c r="Y41" s="14" t="str">
        <f aca="true">IF($A41="","",TODAY())</f>
        <v/>
      </c>
    </row>
    <row r="42" customFormat="false" ht="15" hidden="false" customHeight="false" outlineLevel="0" collapsed="false">
      <c r="A42" s="14"/>
      <c r="B42" s="14"/>
      <c r="C42" s="14"/>
      <c r="D42" s="14"/>
      <c r="E42" s="14"/>
      <c r="F42" s="14"/>
      <c r="G42" s="14"/>
      <c r="H42" s="14"/>
      <c r="I42" s="14"/>
      <c r="J42" s="14"/>
      <c r="M42" s="14" t="str">
        <f aca="false">IF($A42="","",$B$4)</f>
        <v/>
      </c>
      <c r="N42" s="14" t="str">
        <f aca="false">IF($A42="","",TRIM($A42))</f>
        <v/>
      </c>
      <c r="O42" s="14" t="str">
        <f aca="false">IF($A42="","",TRIM($B42))</f>
        <v/>
      </c>
      <c r="P42" s="14" t="str">
        <f aca="false">IF($A42="","",IFERROR(VALUE($C42),$C42))</f>
        <v/>
      </c>
      <c r="Q42" s="14" t="str">
        <f aca="false">IF($A42="","",IFERROR(VALUE($D42),$D42))</f>
        <v/>
      </c>
      <c r="R42" s="14" t="str">
        <f aca="false">IF($A42="","",IFERROR(VALUE($E42),$E42))</f>
        <v/>
      </c>
      <c r="S42" s="14" t="str">
        <f aca="false">IF($A42="","",IFERROR(VALUE($F42),$F42))</f>
        <v/>
      </c>
      <c r="T42" s="14" t="str">
        <f aca="false">IF($A42="","",IFERROR(VALUE($G42),$G42))</f>
        <v/>
      </c>
      <c r="U42" s="14" t="str">
        <f aca="false">IF($A42="","",IFERROR(VALUE($H42),$H42))</f>
        <v/>
      </c>
      <c r="V42" s="14" t="str">
        <f aca="false">IF($A42="","",IFERROR(VALUE($I42),$I42))</f>
        <v/>
      </c>
      <c r="W42" s="14" t="str">
        <f aca="false">IF($A42="","",IFERROR(VALUE($J42),$J42))</f>
        <v/>
      </c>
      <c r="X42" s="14" t="str">
        <f aca="false">IF($A42="","",$B$5)</f>
        <v/>
      </c>
      <c r="Y42" s="14" t="str">
        <f aca="true">IF($A42="","",TODAY())</f>
        <v/>
      </c>
    </row>
    <row r="43" customFormat="false" ht="15" hidden="false" customHeight="false" outlineLevel="0" collapsed="false">
      <c r="A43" s="14"/>
      <c r="B43" s="14"/>
      <c r="C43" s="14"/>
      <c r="D43" s="14"/>
      <c r="E43" s="14"/>
      <c r="F43" s="14"/>
      <c r="G43" s="14"/>
      <c r="H43" s="14"/>
      <c r="I43" s="14"/>
      <c r="J43" s="14"/>
      <c r="M43" s="14" t="str">
        <f aca="false">IF($A43="","",$B$4)</f>
        <v/>
      </c>
      <c r="N43" s="14" t="str">
        <f aca="false">IF($A43="","",TRIM($A43))</f>
        <v/>
      </c>
      <c r="O43" s="14" t="str">
        <f aca="false">IF($A43="","",TRIM($B43))</f>
        <v/>
      </c>
      <c r="P43" s="14" t="str">
        <f aca="false">IF($A43="","",IFERROR(VALUE($C43),$C43))</f>
        <v/>
      </c>
      <c r="Q43" s="14" t="str">
        <f aca="false">IF($A43="","",IFERROR(VALUE($D43),$D43))</f>
        <v/>
      </c>
      <c r="R43" s="14" t="str">
        <f aca="false">IF($A43="","",IFERROR(VALUE($E43),$E43))</f>
        <v/>
      </c>
      <c r="S43" s="14" t="str">
        <f aca="false">IF($A43="","",IFERROR(VALUE($F43),$F43))</f>
        <v/>
      </c>
      <c r="T43" s="14" t="str">
        <f aca="false">IF($A43="","",IFERROR(VALUE($G43),$G43))</f>
        <v/>
      </c>
      <c r="U43" s="14" t="str">
        <f aca="false">IF($A43="","",IFERROR(VALUE($H43),$H43))</f>
        <v/>
      </c>
      <c r="V43" s="14" t="str">
        <f aca="false">IF($A43="","",IFERROR(VALUE($I43),$I43))</f>
        <v/>
      </c>
      <c r="W43" s="14" t="str">
        <f aca="false">IF($A43="","",IFERROR(VALUE($J43),$J43))</f>
        <v/>
      </c>
      <c r="X43" s="14" t="str">
        <f aca="false">IF($A43="","",$B$5)</f>
        <v/>
      </c>
      <c r="Y43" s="14" t="str">
        <f aca="true">IF($A43="","",TODAY())</f>
        <v/>
      </c>
    </row>
    <row r="44" customFormat="false" ht="15" hidden="false" customHeight="false" outlineLevel="0" collapsed="false">
      <c r="A44" s="14"/>
      <c r="B44" s="14"/>
      <c r="C44" s="14"/>
      <c r="D44" s="14"/>
      <c r="E44" s="14"/>
      <c r="F44" s="14"/>
      <c r="G44" s="14"/>
      <c r="H44" s="14"/>
      <c r="I44" s="14"/>
      <c r="J44" s="14"/>
      <c r="M44" s="14" t="str">
        <f aca="false">IF($A44="","",$B$4)</f>
        <v/>
      </c>
      <c r="N44" s="14" t="str">
        <f aca="false">IF($A44="","",TRIM($A44))</f>
        <v/>
      </c>
      <c r="O44" s="14" t="str">
        <f aca="false">IF($A44="","",TRIM($B44))</f>
        <v/>
      </c>
      <c r="P44" s="14" t="str">
        <f aca="false">IF($A44="","",IFERROR(VALUE($C44),$C44))</f>
        <v/>
      </c>
      <c r="Q44" s="14" t="str">
        <f aca="false">IF($A44="","",IFERROR(VALUE($D44),$D44))</f>
        <v/>
      </c>
      <c r="R44" s="14" t="str">
        <f aca="false">IF($A44="","",IFERROR(VALUE($E44),$E44))</f>
        <v/>
      </c>
      <c r="S44" s="14" t="str">
        <f aca="false">IF($A44="","",IFERROR(VALUE($F44),$F44))</f>
        <v/>
      </c>
      <c r="T44" s="14" t="str">
        <f aca="false">IF($A44="","",IFERROR(VALUE($G44),$G44))</f>
        <v/>
      </c>
      <c r="U44" s="14" t="str">
        <f aca="false">IF($A44="","",IFERROR(VALUE($H44),$H44))</f>
        <v/>
      </c>
      <c r="V44" s="14" t="str">
        <f aca="false">IF($A44="","",IFERROR(VALUE($I44),$I44))</f>
        <v/>
      </c>
      <c r="W44" s="14" t="str">
        <f aca="false">IF($A44="","",IFERROR(VALUE($J44),$J44))</f>
        <v/>
      </c>
      <c r="X44" s="14" t="str">
        <f aca="false">IF($A44="","",$B$5)</f>
        <v/>
      </c>
      <c r="Y44" s="14" t="str">
        <f aca="true">IF($A44="","",TODAY())</f>
        <v/>
      </c>
    </row>
    <row r="45" customFormat="false" ht="15" hidden="false" customHeight="false" outlineLevel="0" collapsed="false">
      <c r="A45" s="14"/>
      <c r="B45" s="14"/>
      <c r="C45" s="14"/>
      <c r="D45" s="14"/>
      <c r="E45" s="14"/>
      <c r="F45" s="14"/>
      <c r="G45" s="14"/>
      <c r="H45" s="14"/>
      <c r="I45" s="14"/>
      <c r="J45" s="14"/>
      <c r="M45" s="14" t="str">
        <f aca="false">IF($A45="","",$B$4)</f>
        <v/>
      </c>
      <c r="N45" s="14" t="str">
        <f aca="false">IF($A45="","",TRIM($A45))</f>
        <v/>
      </c>
      <c r="O45" s="14" t="str">
        <f aca="false">IF($A45="","",TRIM($B45))</f>
        <v/>
      </c>
      <c r="P45" s="14" t="str">
        <f aca="false">IF($A45="","",IFERROR(VALUE($C45),$C45))</f>
        <v/>
      </c>
      <c r="Q45" s="14" t="str">
        <f aca="false">IF($A45="","",IFERROR(VALUE($D45),$D45))</f>
        <v/>
      </c>
      <c r="R45" s="14" t="str">
        <f aca="false">IF($A45="","",IFERROR(VALUE($E45),$E45))</f>
        <v/>
      </c>
      <c r="S45" s="14" t="str">
        <f aca="false">IF($A45="","",IFERROR(VALUE($F45),$F45))</f>
        <v/>
      </c>
      <c r="T45" s="14" t="str">
        <f aca="false">IF($A45="","",IFERROR(VALUE($G45),$G45))</f>
        <v/>
      </c>
      <c r="U45" s="14" t="str">
        <f aca="false">IF($A45="","",IFERROR(VALUE($H45),$H45))</f>
        <v/>
      </c>
      <c r="V45" s="14" t="str">
        <f aca="false">IF($A45="","",IFERROR(VALUE($I45),$I45))</f>
        <v/>
      </c>
      <c r="W45" s="14" t="str">
        <f aca="false">IF($A45="","",IFERROR(VALUE($J45),$J45))</f>
        <v/>
      </c>
      <c r="X45" s="14" t="str">
        <f aca="false">IF($A45="","",$B$5)</f>
        <v/>
      </c>
      <c r="Y45" s="14" t="str">
        <f aca="true">IF($A45="","",TODAY())</f>
        <v/>
      </c>
    </row>
    <row r="46" customFormat="false" ht="15" hidden="false" customHeight="false" outlineLevel="0" collapsed="false">
      <c r="A46" s="14"/>
      <c r="B46" s="14"/>
      <c r="C46" s="14"/>
      <c r="D46" s="14"/>
      <c r="E46" s="14"/>
      <c r="F46" s="14"/>
      <c r="G46" s="14"/>
      <c r="H46" s="14"/>
      <c r="I46" s="14"/>
      <c r="J46" s="14"/>
      <c r="M46" s="14" t="str">
        <f aca="false">IF($A46="","",$B$4)</f>
        <v/>
      </c>
      <c r="N46" s="14" t="str">
        <f aca="false">IF($A46="","",TRIM($A46))</f>
        <v/>
      </c>
      <c r="O46" s="14" t="str">
        <f aca="false">IF($A46="","",TRIM($B46))</f>
        <v/>
      </c>
      <c r="P46" s="14" t="str">
        <f aca="false">IF($A46="","",IFERROR(VALUE($C46),$C46))</f>
        <v/>
      </c>
      <c r="Q46" s="14" t="str">
        <f aca="false">IF($A46="","",IFERROR(VALUE($D46),$D46))</f>
        <v/>
      </c>
      <c r="R46" s="14" t="str">
        <f aca="false">IF($A46="","",IFERROR(VALUE($E46),$E46))</f>
        <v/>
      </c>
      <c r="S46" s="14" t="str">
        <f aca="false">IF($A46="","",IFERROR(VALUE($F46),$F46))</f>
        <v/>
      </c>
      <c r="T46" s="14" t="str">
        <f aca="false">IF($A46="","",IFERROR(VALUE($G46),$G46))</f>
        <v/>
      </c>
      <c r="U46" s="14" t="str">
        <f aca="false">IF($A46="","",IFERROR(VALUE($H46),$H46))</f>
        <v/>
      </c>
      <c r="V46" s="14" t="str">
        <f aca="false">IF($A46="","",IFERROR(VALUE($I46),$I46))</f>
        <v/>
      </c>
      <c r="W46" s="14" t="str">
        <f aca="false">IF($A46="","",IFERROR(VALUE($J46),$J46))</f>
        <v/>
      </c>
      <c r="X46" s="14" t="str">
        <f aca="false">IF($A46="","",$B$5)</f>
        <v/>
      </c>
      <c r="Y46" s="14" t="str">
        <f aca="true">IF($A46="","",TODAY())</f>
        <v/>
      </c>
    </row>
    <row r="47" customFormat="false" ht="15" hidden="false" customHeight="false" outlineLevel="0" collapsed="false">
      <c r="A47" s="14"/>
      <c r="B47" s="14"/>
      <c r="C47" s="14"/>
      <c r="D47" s="14"/>
      <c r="E47" s="14"/>
      <c r="F47" s="14"/>
      <c r="G47" s="14"/>
      <c r="H47" s="14"/>
      <c r="I47" s="14"/>
      <c r="J47" s="14"/>
      <c r="M47" s="14" t="str">
        <f aca="false">IF($A47="","",$B$4)</f>
        <v/>
      </c>
      <c r="N47" s="14" t="str">
        <f aca="false">IF($A47="","",TRIM($A47))</f>
        <v/>
      </c>
      <c r="O47" s="14" t="str">
        <f aca="false">IF($A47="","",TRIM($B47))</f>
        <v/>
      </c>
      <c r="P47" s="14" t="str">
        <f aca="false">IF($A47="","",IFERROR(VALUE($C47),$C47))</f>
        <v/>
      </c>
      <c r="Q47" s="14" t="str">
        <f aca="false">IF($A47="","",IFERROR(VALUE($D47),$D47))</f>
        <v/>
      </c>
      <c r="R47" s="14" t="str">
        <f aca="false">IF($A47="","",IFERROR(VALUE($E47),$E47))</f>
        <v/>
      </c>
      <c r="S47" s="14" t="str">
        <f aca="false">IF($A47="","",IFERROR(VALUE($F47),$F47))</f>
        <v/>
      </c>
      <c r="T47" s="14" t="str">
        <f aca="false">IF($A47="","",IFERROR(VALUE($G47),$G47))</f>
        <v/>
      </c>
      <c r="U47" s="14" t="str">
        <f aca="false">IF($A47="","",IFERROR(VALUE($H47),$H47))</f>
        <v/>
      </c>
      <c r="V47" s="14" t="str">
        <f aca="false">IF($A47="","",IFERROR(VALUE($I47),$I47))</f>
        <v/>
      </c>
      <c r="W47" s="14" t="str">
        <f aca="false">IF($A47="","",IFERROR(VALUE($J47),$J47))</f>
        <v/>
      </c>
      <c r="X47" s="14" t="str">
        <f aca="false">IF($A47="","",$B$5)</f>
        <v/>
      </c>
      <c r="Y47" s="14" t="str">
        <f aca="true">IF($A47="","",TODAY())</f>
        <v/>
      </c>
    </row>
    <row r="48" customFormat="false" ht="15" hidden="false" customHeight="false" outlineLevel="0" collapsed="false">
      <c r="A48" s="14"/>
      <c r="B48" s="14"/>
      <c r="C48" s="14"/>
      <c r="D48" s="14"/>
      <c r="E48" s="14"/>
      <c r="F48" s="14"/>
      <c r="G48" s="14"/>
      <c r="H48" s="14"/>
      <c r="I48" s="14"/>
      <c r="J48" s="14"/>
      <c r="M48" s="14" t="str">
        <f aca="false">IF($A48="","",$B$4)</f>
        <v/>
      </c>
      <c r="N48" s="14" t="str">
        <f aca="false">IF($A48="","",TRIM($A48))</f>
        <v/>
      </c>
      <c r="O48" s="14" t="str">
        <f aca="false">IF($A48="","",TRIM($B48))</f>
        <v/>
      </c>
      <c r="P48" s="14" t="str">
        <f aca="false">IF($A48="","",IFERROR(VALUE($C48),$C48))</f>
        <v/>
      </c>
      <c r="Q48" s="14" t="str">
        <f aca="false">IF($A48="","",IFERROR(VALUE($D48),$D48))</f>
        <v/>
      </c>
      <c r="R48" s="14" t="str">
        <f aca="false">IF($A48="","",IFERROR(VALUE($E48),$E48))</f>
        <v/>
      </c>
      <c r="S48" s="14" t="str">
        <f aca="false">IF($A48="","",IFERROR(VALUE($F48),$F48))</f>
        <v/>
      </c>
      <c r="T48" s="14" t="str">
        <f aca="false">IF($A48="","",IFERROR(VALUE($G48),$G48))</f>
        <v/>
      </c>
      <c r="U48" s="14" t="str">
        <f aca="false">IF($A48="","",IFERROR(VALUE($H48),$H48))</f>
        <v/>
      </c>
      <c r="V48" s="14" t="str">
        <f aca="false">IF($A48="","",IFERROR(VALUE($I48),$I48))</f>
        <v/>
      </c>
      <c r="W48" s="14" t="str">
        <f aca="false">IF($A48="","",IFERROR(VALUE($J48),$J48))</f>
        <v/>
      </c>
      <c r="X48" s="14" t="str">
        <f aca="false">IF($A48="","",$B$5)</f>
        <v/>
      </c>
      <c r="Y48" s="14" t="str">
        <f aca="true">IF($A48="","",TODAY())</f>
        <v/>
      </c>
    </row>
    <row r="49" customFormat="false" ht="15" hidden="false" customHeight="false" outlineLevel="0" collapsed="false">
      <c r="A49" s="14"/>
      <c r="B49" s="14"/>
      <c r="C49" s="14"/>
      <c r="D49" s="14"/>
      <c r="E49" s="14"/>
      <c r="F49" s="14"/>
      <c r="G49" s="14"/>
      <c r="H49" s="14"/>
      <c r="I49" s="14"/>
      <c r="J49" s="14"/>
      <c r="M49" s="14" t="str">
        <f aca="false">IF($A49="","",$B$4)</f>
        <v/>
      </c>
      <c r="N49" s="14" t="str">
        <f aca="false">IF($A49="","",TRIM($A49))</f>
        <v/>
      </c>
      <c r="O49" s="14" t="str">
        <f aca="false">IF($A49="","",TRIM($B49))</f>
        <v/>
      </c>
      <c r="P49" s="14" t="str">
        <f aca="false">IF($A49="","",IFERROR(VALUE($C49),$C49))</f>
        <v/>
      </c>
      <c r="Q49" s="14" t="str">
        <f aca="false">IF($A49="","",IFERROR(VALUE($D49),$D49))</f>
        <v/>
      </c>
      <c r="R49" s="14" t="str">
        <f aca="false">IF($A49="","",IFERROR(VALUE($E49),$E49))</f>
        <v/>
      </c>
      <c r="S49" s="14" t="str">
        <f aca="false">IF($A49="","",IFERROR(VALUE($F49),$F49))</f>
        <v/>
      </c>
      <c r="T49" s="14" t="str">
        <f aca="false">IF($A49="","",IFERROR(VALUE($G49),$G49))</f>
        <v/>
      </c>
      <c r="U49" s="14" t="str">
        <f aca="false">IF($A49="","",IFERROR(VALUE($H49),$H49))</f>
        <v/>
      </c>
      <c r="V49" s="14" t="str">
        <f aca="false">IF($A49="","",IFERROR(VALUE($I49),$I49))</f>
        <v/>
      </c>
      <c r="W49" s="14" t="str">
        <f aca="false">IF($A49="","",IFERROR(VALUE($J49),$J49))</f>
        <v/>
      </c>
      <c r="X49" s="14" t="str">
        <f aca="false">IF($A49="","",$B$5)</f>
        <v/>
      </c>
      <c r="Y49" s="14" t="str">
        <f aca="true">IF($A49="","",TODAY())</f>
        <v/>
      </c>
    </row>
    <row r="50" customFormat="false" ht="15" hidden="false" customHeight="false" outlineLevel="0" collapsed="false">
      <c r="A50" s="14"/>
      <c r="B50" s="14"/>
      <c r="C50" s="14"/>
      <c r="D50" s="14"/>
      <c r="E50" s="14"/>
      <c r="F50" s="14"/>
      <c r="G50" s="14"/>
      <c r="H50" s="14"/>
      <c r="I50" s="14"/>
      <c r="J50" s="14"/>
      <c r="M50" s="14" t="str">
        <f aca="false">IF($A50="","",$B$4)</f>
        <v/>
      </c>
      <c r="N50" s="14" t="str">
        <f aca="false">IF($A50="","",TRIM($A50))</f>
        <v/>
      </c>
      <c r="O50" s="14" t="str">
        <f aca="false">IF($A50="","",TRIM($B50))</f>
        <v/>
      </c>
      <c r="P50" s="14" t="str">
        <f aca="false">IF($A50="","",IFERROR(VALUE($C50),$C50))</f>
        <v/>
      </c>
      <c r="Q50" s="14" t="str">
        <f aca="false">IF($A50="","",IFERROR(VALUE($D50),$D50))</f>
        <v/>
      </c>
      <c r="R50" s="14" t="str">
        <f aca="false">IF($A50="","",IFERROR(VALUE($E50),$E50))</f>
        <v/>
      </c>
      <c r="S50" s="14" t="str">
        <f aca="false">IF($A50="","",IFERROR(VALUE($F50),$F50))</f>
        <v/>
      </c>
      <c r="T50" s="14" t="str">
        <f aca="false">IF($A50="","",IFERROR(VALUE($G50),$G50))</f>
        <v/>
      </c>
      <c r="U50" s="14" t="str">
        <f aca="false">IF($A50="","",IFERROR(VALUE($H50),$H50))</f>
        <v/>
      </c>
      <c r="V50" s="14" t="str">
        <f aca="false">IF($A50="","",IFERROR(VALUE($I50),$I50))</f>
        <v/>
      </c>
      <c r="W50" s="14" t="str">
        <f aca="false">IF($A50="","",IFERROR(VALUE($J50),$J50))</f>
        <v/>
      </c>
      <c r="X50" s="14" t="str">
        <f aca="false">IF($A50="","",$B$5)</f>
        <v/>
      </c>
      <c r="Y50" s="14" t="str">
        <f aca="true">IF($A50="","",TODAY())</f>
        <v/>
      </c>
    </row>
    <row r="51" customFormat="false" ht="15" hidden="false" customHeight="false" outlineLevel="0" collapsed="false">
      <c r="A51" s="14"/>
      <c r="B51" s="14"/>
      <c r="C51" s="14"/>
      <c r="D51" s="14"/>
      <c r="E51" s="14"/>
      <c r="F51" s="14"/>
      <c r="G51" s="14"/>
      <c r="H51" s="14"/>
      <c r="I51" s="14"/>
      <c r="J51" s="14"/>
      <c r="M51" s="14" t="str">
        <f aca="false">IF($A51="","",$B$4)</f>
        <v/>
      </c>
      <c r="N51" s="14" t="str">
        <f aca="false">IF($A51="","",TRIM($A51))</f>
        <v/>
      </c>
      <c r="O51" s="14" t="str">
        <f aca="false">IF($A51="","",TRIM($B51))</f>
        <v/>
      </c>
      <c r="P51" s="14" t="str">
        <f aca="false">IF($A51="","",IFERROR(VALUE($C51),$C51))</f>
        <v/>
      </c>
      <c r="Q51" s="14" t="str">
        <f aca="false">IF($A51="","",IFERROR(VALUE($D51),$D51))</f>
        <v/>
      </c>
      <c r="R51" s="14" t="str">
        <f aca="false">IF($A51="","",IFERROR(VALUE($E51),$E51))</f>
        <v/>
      </c>
      <c r="S51" s="14" t="str">
        <f aca="false">IF($A51="","",IFERROR(VALUE($F51),$F51))</f>
        <v/>
      </c>
      <c r="T51" s="14" t="str">
        <f aca="false">IF($A51="","",IFERROR(VALUE($G51),$G51))</f>
        <v/>
      </c>
      <c r="U51" s="14" t="str">
        <f aca="false">IF($A51="","",IFERROR(VALUE($H51),$H51))</f>
        <v/>
      </c>
      <c r="V51" s="14" t="str">
        <f aca="false">IF($A51="","",IFERROR(VALUE($I51),$I51))</f>
        <v/>
      </c>
      <c r="W51" s="14" t="str">
        <f aca="false">IF($A51="","",IFERROR(VALUE($J51),$J51))</f>
        <v/>
      </c>
      <c r="X51" s="14" t="str">
        <f aca="false">IF($A51="","",$B$5)</f>
        <v/>
      </c>
      <c r="Y51" s="14" t="str">
        <f aca="true">IF($A51="","",TODAY())</f>
        <v/>
      </c>
    </row>
    <row r="52" customFormat="false" ht="15" hidden="false" customHeight="false" outlineLevel="0" collapsed="false">
      <c r="A52" s="14"/>
      <c r="B52" s="14"/>
      <c r="C52" s="14"/>
      <c r="D52" s="14"/>
      <c r="E52" s="14"/>
      <c r="F52" s="14"/>
      <c r="G52" s="14"/>
      <c r="H52" s="14"/>
      <c r="I52" s="14"/>
      <c r="J52" s="14"/>
      <c r="M52" s="14" t="str">
        <f aca="false">IF($A52="","",$B$4)</f>
        <v/>
      </c>
      <c r="N52" s="14" t="str">
        <f aca="false">IF($A52="","",TRIM($A52))</f>
        <v/>
      </c>
      <c r="O52" s="14" t="str">
        <f aca="false">IF($A52="","",TRIM($B52))</f>
        <v/>
      </c>
      <c r="P52" s="14" t="str">
        <f aca="false">IF($A52="","",IFERROR(VALUE($C52),$C52))</f>
        <v/>
      </c>
      <c r="Q52" s="14" t="str">
        <f aca="false">IF($A52="","",IFERROR(VALUE($D52),$D52))</f>
        <v/>
      </c>
      <c r="R52" s="14" t="str">
        <f aca="false">IF($A52="","",IFERROR(VALUE($E52),$E52))</f>
        <v/>
      </c>
      <c r="S52" s="14" t="str">
        <f aca="false">IF($A52="","",IFERROR(VALUE($F52),$F52))</f>
        <v/>
      </c>
      <c r="T52" s="14" t="str">
        <f aca="false">IF($A52="","",IFERROR(VALUE($G52),$G52))</f>
        <v/>
      </c>
      <c r="U52" s="14" t="str">
        <f aca="false">IF($A52="","",IFERROR(VALUE($H52),$H52))</f>
        <v/>
      </c>
      <c r="V52" s="14" t="str">
        <f aca="false">IF($A52="","",IFERROR(VALUE($I52),$I52))</f>
        <v/>
      </c>
      <c r="W52" s="14" t="str">
        <f aca="false">IF($A52="","",IFERROR(VALUE($J52),$J52))</f>
        <v/>
      </c>
      <c r="X52" s="14" t="str">
        <f aca="false">IF($A52="","",$B$5)</f>
        <v/>
      </c>
      <c r="Y52" s="14" t="str">
        <f aca="true">IF($A52="","",TODAY())</f>
        <v/>
      </c>
    </row>
    <row r="53" customFormat="false" ht="15" hidden="false" customHeight="false" outlineLevel="0" collapsed="false">
      <c r="A53" s="14"/>
      <c r="B53" s="14"/>
      <c r="C53" s="14"/>
      <c r="D53" s="14"/>
      <c r="E53" s="14"/>
      <c r="F53" s="14"/>
      <c r="G53" s="14"/>
      <c r="H53" s="14"/>
      <c r="I53" s="14"/>
      <c r="J53" s="14"/>
      <c r="M53" s="14" t="str">
        <f aca="false">IF($A53="","",$B$4)</f>
        <v/>
      </c>
      <c r="N53" s="14" t="str">
        <f aca="false">IF($A53="","",TRIM($A53))</f>
        <v/>
      </c>
      <c r="O53" s="14" t="str">
        <f aca="false">IF($A53="","",TRIM($B53))</f>
        <v/>
      </c>
      <c r="P53" s="14" t="str">
        <f aca="false">IF($A53="","",IFERROR(VALUE($C53),$C53))</f>
        <v/>
      </c>
      <c r="Q53" s="14" t="str">
        <f aca="false">IF($A53="","",IFERROR(VALUE($D53),$D53))</f>
        <v/>
      </c>
      <c r="R53" s="14" t="str">
        <f aca="false">IF($A53="","",IFERROR(VALUE($E53),$E53))</f>
        <v/>
      </c>
      <c r="S53" s="14" t="str">
        <f aca="false">IF($A53="","",IFERROR(VALUE($F53),$F53))</f>
        <v/>
      </c>
      <c r="T53" s="14" t="str">
        <f aca="false">IF($A53="","",IFERROR(VALUE($G53),$G53))</f>
        <v/>
      </c>
      <c r="U53" s="14" t="str">
        <f aca="false">IF($A53="","",IFERROR(VALUE($H53),$H53))</f>
        <v/>
      </c>
      <c r="V53" s="14" t="str">
        <f aca="false">IF($A53="","",IFERROR(VALUE($I53),$I53))</f>
        <v/>
      </c>
      <c r="W53" s="14" t="str">
        <f aca="false">IF($A53="","",IFERROR(VALUE($J53),$J53))</f>
        <v/>
      </c>
      <c r="X53" s="14" t="str">
        <f aca="false">IF($A53="","",$B$5)</f>
        <v/>
      </c>
      <c r="Y53" s="14" t="str">
        <f aca="true">IF($A53="","",TODAY())</f>
        <v/>
      </c>
    </row>
    <row r="54" customFormat="false" ht="15" hidden="false" customHeight="false" outlineLevel="0" collapsed="false">
      <c r="A54" s="14"/>
      <c r="B54" s="14"/>
      <c r="C54" s="14"/>
      <c r="D54" s="14"/>
      <c r="E54" s="14"/>
      <c r="F54" s="14"/>
      <c r="G54" s="14"/>
      <c r="H54" s="14"/>
      <c r="I54" s="14"/>
      <c r="J54" s="14"/>
      <c r="M54" s="14" t="str">
        <f aca="false">IF($A54="","",$B$4)</f>
        <v/>
      </c>
      <c r="N54" s="14" t="str">
        <f aca="false">IF($A54="","",TRIM($A54))</f>
        <v/>
      </c>
      <c r="O54" s="14" t="str">
        <f aca="false">IF($A54="","",TRIM($B54))</f>
        <v/>
      </c>
      <c r="P54" s="14" t="str">
        <f aca="false">IF($A54="","",IFERROR(VALUE($C54),$C54))</f>
        <v/>
      </c>
      <c r="Q54" s="14" t="str">
        <f aca="false">IF($A54="","",IFERROR(VALUE($D54),$D54))</f>
        <v/>
      </c>
      <c r="R54" s="14" t="str">
        <f aca="false">IF($A54="","",IFERROR(VALUE($E54),$E54))</f>
        <v/>
      </c>
      <c r="S54" s="14" t="str">
        <f aca="false">IF($A54="","",IFERROR(VALUE($F54),$F54))</f>
        <v/>
      </c>
      <c r="T54" s="14" t="str">
        <f aca="false">IF($A54="","",IFERROR(VALUE($G54),$G54))</f>
        <v/>
      </c>
      <c r="U54" s="14" t="str">
        <f aca="false">IF($A54="","",IFERROR(VALUE($H54),$H54))</f>
        <v/>
      </c>
      <c r="V54" s="14" t="str">
        <f aca="false">IF($A54="","",IFERROR(VALUE($I54),$I54))</f>
        <v/>
      </c>
      <c r="W54" s="14" t="str">
        <f aca="false">IF($A54="","",IFERROR(VALUE($J54),$J54))</f>
        <v/>
      </c>
      <c r="X54" s="14" t="str">
        <f aca="false">IF($A54="","",$B$5)</f>
        <v/>
      </c>
      <c r="Y54" s="14" t="str">
        <f aca="true">IF($A54="","",TODAY())</f>
        <v/>
      </c>
    </row>
    <row r="55" customFormat="false" ht="15" hidden="false" customHeight="false" outlineLevel="0" collapsed="false">
      <c r="A55" s="14"/>
      <c r="B55" s="14"/>
      <c r="C55" s="14"/>
      <c r="D55" s="14"/>
      <c r="E55" s="14"/>
      <c r="F55" s="14"/>
      <c r="G55" s="14"/>
      <c r="H55" s="14"/>
      <c r="I55" s="14"/>
      <c r="J55" s="14"/>
      <c r="M55" s="14" t="str">
        <f aca="false">IF($A55="","",$B$4)</f>
        <v/>
      </c>
      <c r="N55" s="14" t="str">
        <f aca="false">IF($A55="","",TRIM($A55))</f>
        <v/>
      </c>
      <c r="O55" s="14" t="str">
        <f aca="false">IF($A55="","",TRIM($B55))</f>
        <v/>
      </c>
      <c r="P55" s="14" t="str">
        <f aca="false">IF($A55="","",IFERROR(VALUE($C55),$C55))</f>
        <v/>
      </c>
      <c r="Q55" s="14" t="str">
        <f aca="false">IF($A55="","",IFERROR(VALUE($D55),$D55))</f>
        <v/>
      </c>
      <c r="R55" s="14" t="str">
        <f aca="false">IF($A55="","",IFERROR(VALUE($E55),$E55))</f>
        <v/>
      </c>
      <c r="S55" s="14" t="str">
        <f aca="false">IF($A55="","",IFERROR(VALUE($F55),$F55))</f>
        <v/>
      </c>
      <c r="T55" s="14" t="str">
        <f aca="false">IF($A55="","",IFERROR(VALUE($G55),$G55))</f>
        <v/>
      </c>
      <c r="U55" s="14" t="str">
        <f aca="false">IF($A55="","",IFERROR(VALUE($H55),$H55))</f>
        <v/>
      </c>
      <c r="V55" s="14" t="str">
        <f aca="false">IF($A55="","",IFERROR(VALUE($I55),$I55))</f>
        <v/>
      </c>
      <c r="W55" s="14" t="str">
        <f aca="false">IF($A55="","",IFERROR(VALUE($J55),$J55))</f>
        <v/>
      </c>
      <c r="X55" s="14" t="str">
        <f aca="false">IF($A55="","",$B$5)</f>
        <v/>
      </c>
      <c r="Y55" s="14" t="str">
        <f aca="true">IF($A55="","",TODAY())</f>
        <v/>
      </c>
    </row>
    <row r="56" customFormat="false" ht="15" hidden="false" customHeight="false" outlineLevel="0" collapsed="false">
      <c r="A56" s="14"/>
      <c r="B56" s="14"/>
      <c r="C56" s="14"/>
      <c r="D56" s="14"/>
      <c r="E56" s="14"/>
      <c r="F56" s="14"/>
      <c r="G56" s="14"/>
      <c r="H56" s="14"/>
      <c r="I56" s="14"/>
      <c r="J56" s="14"/>
      <c r="M56" s="14" t="str">
        <f aca="false">IF($A56="","",$B$4)</f>
        <v/>
      </c>
      <c r="N56" s="14" t="str">
        <f aca="false">IF($A56="","",TRIM($A56))</f>
        <v/>
      </c>
      <c r="O56" s="14" t="str">
        <f aca="false">IF($A56="","",TRIM($B56))</f>
        <v/>
      </c>
      <c r="P56" s="14" t="str">
        <f aca="false">IF($A56="","",IFERROR(VALUE($C56),$C56))</f>
        <v/>
      </c>
      <c r="Q56" s="14" t="str">
        <f aca="false">IF($A56="","",IFERROR(VALUE($D56),$D56))</f>
        <v/>
      </c>
      <c r="R56" s="14" t="str">
        <f aca="false">IF($A56="","",IFERROR(VALUE($E56),$E56))</f>
        <v/>
      </c>
      <c r="S56" s="14" t="str">
        <f aca="false">IF($A56="","",IFERROR(VALUE($F56),$F56))</f>
        <v/>
      </c>
      <c r="T56" s="14" t="str">
        <f aca="false">IF($A56="","",IFERROR(VALUE($G56),$G56))</f>
        <v/>
      </c>
      <c r="U56" s="14" t="str">
        <f aca="false">IF($A56="","",IFERROR(VALUE($H56),$H56))</f>
        <v/>
      </c>
      <c r="V56" s="14" t="str">
        <f aca="false">IF($A56="","",IFERROR(VALUE($I56),$I56))</f>
        <v/>
      </c>
      <c r="W56" s="14" t="str">
        <f aca="false">IF($A56="","",IFERROR(VALUE($J56),$J56))</f>
        <v/>
      </c>
      <c r="X56" s="14" t="str">
        <f aca="false">IF($A56="","",$B$5)</f>
        <v/>
      </c>
      <c r="Y56" s="14" t="str">
        <f aca="true">IF($A56="","",TODAY())</f>
        <v/>
      </c>
    </row>
    <row r="57" customFormat="false" ht="15" hidden="false" customHeight="false" outlineLevel="0" collapsed="false">
      <c r="A57" s="14"/>
      <c r="B57" s="14"/>
      <c r="C57" s="14"/>
      <c r="D57" s="14"/>
      <c r="E57" s="14"/>
      <c r="F57" s="14"/>
      <c r="G57" s="14"/>
      <c r="H57" s="14"/>
      <c r="I57" s="14"/>
      <c r="J57" s="14"/>
      <c r="M57" s="14" t="str">
        <f aca="false">IF($A57="","",$B$4)</f>
        <v/>
      </c>
      <c r="N57" s="14" t="str">
        <f aca="false">IF($A57="","",TRIM($A57))</f>
        <v/>
      </c>
      <c r="O57" s="14" t="str">
        <f aca="false">IF($A57="","",TRIM($B57))</f>
        <v/>
      </c>
      <c r="P57" s="14" t="str">
        <f aca="false">IF($A57="","",IFERROR(VALUE($C57),$C57))</f>
        <v/>
      </c>
      <c r="Q57" s="14" t="str">
        <f aca="false">IF($A57="","",IFERROR(VALUE($D57),$D57))</f>
        <v/>
      </c>
      <c r="R57" s="14" t="str">
        <f aca="false">IF($A57="","",IFERROR(VALUE($E57),$E57))</f>
        <v/>
      </c>
      <c r="S57" s="14" t="str">
        <f aca="false">IF($A57="","",IFERROR(VALUE($F57),$F57))</f>
        <v/>
      </c>
      <c r="T57" s="14" t="str">
        <f aca="false">IF($A57="","",IFERROR(VALUE($G57),$G57))</f>
        <v/>
      </c>
      <c r="U57" s="14" t="str">
        <f aca="false">IF($A57="","",IFERROR(VALUE($H57),$H57))</f>
        <v/>
      </c>
      <c r="V57" s="14" t="str">
        <f aca="false">IF($A57="","",IFERROR(VALUE($I57),$I57))</f>
        <v/>
      </c>
      <c r="W57" s="14" t="str">
        <f aca="false">IF($A57="","",IFERROR(VALUE($J57),$J57))</f>
        <v/>
      </c>
      <c r="X57" s="14" t="str">
        <f aca="false">IF($A57="","",$B$5)</f>
        <v/>
      </c>
      <c r="Y57" s="14" t="str">
        <f aca="true">IF($A57="","",TODAY())</f>
        <v/>
      </c>
    </row>
    <row r="58" customFormat="false" ht="15" hidden="false" customHeight="false" outlineLevel="0" collapsed="false">
      <c r="A58" s="14"/>
      <c r="B58" s="14"/>
      <c r="C58" s="14"/>
      <c r="D58" s="14"/>
      <c r="E58" s="14"/>
      <c r="F58" s="14"/>
      <c r="G58" s="14"/>
      <c r="H58" s="14"/>
      <c r="I58" s="14"/>
      <c r="J58" s="14"/>
      <c r="M58" s="14" t="str">
        <f aca="false">IF($A58="","",$B$4)</f>
        <v/>
      </c>
      <c r="N58" s="14" t="str">
        <f aca="false">IF($A58="","",TRIM($A58))</f>
        <v/>
      </c>
      <c r="O58" s="14" t="str">
        <f aca="false">IF($A58="","",TRIM($B58))</f>
        <v/>
      </c>
      <c r="P58" s="14" t="str">
        <f aca="false">IF($A58="","",IFERROR(VALUE($C58),$C58))</f>
        <v/>
      </c>
      <c r="Q58" s="14" t="str">
        <f aca="false">IF($A58="","",IFERROR(VALUE($D58),$D58))</f>
        <v/>
      </c>
      <c r="R58" s="14" t="str">
        <f aca="false">IF($A58="","",IFERROR(VALUE($E58),$E58))</f>
        <v/>
      </c>
      <c r="S58" s="14" t="str">
        <f aca="false">IF($A58="","",IFERROR(VALUE($F58),$F58))</f>
        <v/>
      </c>
      <c r="T58" s="14" t="str">
        <f aca="false">IF($A58="","",IFERROR(VALUE($G58),$G58))</f>
        <v/>
      </c>
      <c r="U58" s="14" t="str">
        <f aca="false">IF($A58="","",IFERROR(VALUE($H58),$H58))</f>
        <v/>
      </c>
      <c r="V58" s="14" t="str">
        <f aca="false">IF($A58="","",IFERROR(VALUE($I58),$I58))</f>
        <v/>
      </c>
      <c r="W58" s="14" t="str">
        <f aca="false">IF($A58="","",IFERROR(VALUE($J58),$J58))</f>
        <v/>
      </c>
      <c r="X58" s="14" t="str">
        <f aca="false">IF($A58="","",$B$5)</f>
        <v/>
      </c>
      <c r="Y58" s="14" t="str">
        <f aca="true">IF($A58="","",TODAY())</f>
        <v/>
      </c>
    </row>
    <row r="59" customFormat="false" ht="15" hidden="false" customHeight="false" outlineLevel="0" collapsed="false">
      <c r="A59" s="14"/>
      <c r="B59" s="14"/>
      <c r="C59" s="14"/>
      <c r="D59" s="14"/>
      <c r="E59" s="14"/>
      <c r="F59" s="14"/>
      <c r="G59" s="14"/>
      <c r="H59" s="14"/>
      <c r="I59" s="14"/>
      <c r="J59" s="14"/>
      <c r="M59" s="14" t="str">
        <f aca="false">IF($A59="","",$B$4)</f>
        <v/>
      </c>
      <c r="N59" s="14" t="str">
        <f aca="false">IF($A59="","",TRIM($A59))</f>
        <v/>
      </c>
      <c r="O59" s="14" t="str">
        <f aca="false">IF($A59="","",TRIM($B59))</f>
        <v/>
      </c>
      <c r="P59" s="14" t="str">
        <f aca="false">IF($A59="","",IFERROR(VALUE($C59),$C59))</f>
        <v/>
      </c>
      <c r="Q59" s="14" t="str">
        <f aca="false">IF($A59="","",IFERROR(VALUE($D59),$D59))</f>
        <v/>
      </c>
      <c r="R59" s="14" t="str">
        <f aca="false">IF($A59="","",IFERROR(VALUE($E59),$E59))</f>
        <v/>
      </c>
      <c r="S59" s="14" t="str">
        <f aca="false">IF($A59="","",IFERROR(VALUE($F59),$F59))</f>
        <v/>
      </c>
      <c r="T59" s="14" t="str">
        <f aca="false">IF($A59="","",IFERROR(VALUE($G59),$G59))</f>
        <v/>
      </c>
      <c r="U59" s="14" t="str">
        <f aca="false">IF($A59="","",IFERROR(VALUE($H59),$H59))</f>
        <v/>
      </c>
      <c r="V59" s="14" t="str">
        <f aca="false">IF($A59="","",IFERROR(VALUE($I59),$I59))</f>
        <v/>
      </c>
      <c r="W59" s="14" t="str">
        <f aca="false">IF($A59="","",IFERROR(VALUE($J59),$J59))</f>
        <v/>
      </c>
      <c r="X59" s="14" t="str">
        <f aca="false">IF($A59="","",$B$5)</f>
        <v/>
      </c>
      <c r="Y59" s="14" t="str">
        <f aca="true">IF($A59="","",TODAY())</f>
        <v/>
      </c>
    </row>
    <row r="60" customFormat="false" ht="15" hidden="false" customHeight="false" outlineLevel="0" collapsed="false">
      <c r="A60" s="14"/>
      <c r="B60" s="14"/>
      <c r="C60" s="14"/>
      <c r="D60" s="14"/>
      <c r="E60" s="14"/>
      <c r="F60" s="14"/>
      <c r="G60" s="14"/>
      <c r="H60" s="14"/>
      <c r="I60" s="14"/>
      <c r="J60" s="14"/>
      <c r="M60" s="14" t="str">
        <f aca="false">IF($A60="","",$B$4)</f>
        <v/>
      </c>
      <c r="N60" s="14" t="str">
        <f aca="false">IF($A60="","",TRIM($A60))</f>
        <v/>
      </c>
      <c r="O60" s="14" t="str">
        <f aca="false">IF($A60="","",TRIM($B60))</f>
        <v/>
      </c>
      <c r="P60" s="14" t="str">
        <f aca="false">IF($A60="","",IFERROR(VALUE($C60),$C60))</f>
        <v/>
      </c>
      <c r="Q60" s="14" t="str">
        <f aca="false">IF($A60="","",IFERROR(VALUE($D60),$D60))</f>
        <v/>
      </c>
      <c r="R60" s="14" t="str">
        <f aca="false">IF($A60="","",IFERROR(VALUE($E60),$E60))</f>
        <v/>
      </c>
      <c r="S60" s="14" t="str">
        <f aca="false">IF($A60="","",IFERROR(VALUE($F60),$F60))</f>
        <v/>
      </c>
      <c r="T60" s="14" t="str">
        <f aca="false">IF($A60="","",IFERROR(VALUE($G60),$G60))</f>
        <v/>
      </c>
      <c r="U60" s="14" t="str">
        <f aca="false">IF($A60="","",IFERROR(VALUE($H60),$H60))</f>
        <v/>
      </c>
      <c r="V60" s="14" t="str">
        <f aca="false">IF($A60="","",IFERROR(VALUE($I60),$I60))</f>
        <v/>
      </c>
      <c r="W60" s="14" t="str">
        <f aca="false">IF($A60="","",IFERROR(VALUE($J60),$J60))</f>
        <v/>
      </c>
      <c r="X60" s="14" t="str">
        <f aca="false">IF($A60="","",$B$5)</f>
        <v/>
      </c>
      <c r="Y60" s="14" t="str">
        <f aca="true">IF($A60="","",TODAY())</f>
        <v/>
      </c>
    </row>
    <row r="61" customFormat="false" ht="15" hidden="false" customHeight="false" outlineLevel="0" collapsed="false">
      <c r="A61" s="14"/>
      <c r="B61" s="14"/>
      <c r="C61" s="14"/>
      <c r="D61" s="14"/>
      <c r="E61" s="14"/>
      <c r="F61" s="14"/>
      <c r="G61" s="14"/>
      <c r="H61" s="14"/>
      <c r="I61" s="14"/>
      <c r="J61" s="14"/>
      <c r="M61" s="14" t="str">
        <f aca="false">IF($A61="","",$B$4)</f>
        <v/>
      </c>
      <c r="N61" s="14" t="str">
        <f aca="false">IF($A61="","",TRIM($A61))</f>
        <v/>
      </c>
      <c r="O61" s="14" t="str">
        <f aca="false">IF($A61="","",TRIM($B61))</f>
        <v/>
      </c>
      <c r="P61" s="14" t="str">
        <f aca="false">IF($A61="","",IFERROR(VALUE($C61),$C61))</f>
        <v/>
      </c>
      <c r="Q61" s="14" t="str">
        <f aca="false">IF($A61="","",IFERROR(VALUE($D61),$D61))</f>
        <v/>
      </c>
      <c r="R61" s="14" t="str">
        <f aca="false">IF($A61="","",IFERROR(VALUE($E61),$E61))</f>
        <v/>
      </c>
      <c r="S61" s="14" t="str">
        <f aca="false">IF($A61="","",IFERROR(VALUE($F61),$F61))</f>
        <v/>
      </c>
      <c r="T61" s="14" t="str">
        <f aca="false">IF($A61="","",IFERROR(VALUE($G61),$G61))</f>
        <v/>
      </c>
      <c r="U61" s="14" t="str">
        <f aca="false">IF($A61="","",IFERROR(VALUE($H61),$H61))</f>
        <v/>
      </c>
      <c r="V61" s="14" t="str">
        <f aca="false">IF($A61="","",IFERROR(VALUE($I61),$I61))</f>
        <v/>
      </c>
      <c r="W61" s="14" t="str">
        <f aca="false">IF($A61="","",IFERROR(VALUE($J61),$J61))</f>
        <v/>
      </c>
      <c r="X61" s="14" t="str">
        <f aca="false">IF($A61="","",$B$5)</f>
        <v/>
      </c>
      <c r="Y61" s="14" t="str">
        <f aca="true">IF($A61="","",TODAY())</f>
        <v/>
      </c>
    </row>
    <row r="62" customFormat="false" ht="15" hidden="false" customHeight="false" outlineLevel="0" collapsed="false">
      <c r="A62" s="14"/>
      <c r="B62" s="14"/>
      <c r="C62" s="14"/>
      <c r="D62" s="14"/>
      <c r="E62" s="14"/>
      <c r="F62" s="14"/>
      <c r="G62" s="14"/>
      <c r="H62" s="14"/>
      <c r="I62" s="14"/>
      <c r="J62" s="14"/>
      <c r="M62" s="14" t="str">
        <f aca="false">IF($A62="","",$B$4)</f>
        <v/>
      </c>
      <c r="N62" s="14" t="str">
        <f aca="false">IF($A62="","",TRIM($A62))</f>
        <v/>
      </c>
      <c r="O62" s="14" t="str">
        <f aca="false">IF($A62="","",TRIM($B62))</f>
        <v/>
      </c>
      <c r="P62" s="14" t="str">
        <f aca="false">IF($A62="","",IFERROR(VALUE($C62),$C62))</f>
        <v/>
      </c>
      <c r="Q62" s="14" t="str">
        <f aca="false">IF($A62="","",IFERROR(VALUE($D62),$D62))</f>
        <v/>
      </c>
      <c r="R62" s="14" t="str">
        <f aca="false">IF($A62="","",IFERROR(VALUE($E62),$E62))</f>
        <v/>
      </c>
      <c r="S62" s="14" t="str">
        <f aca="false">IF($A62="","",IFERROR(VALUE($F62),$F62))</f>
        <v/>
      </c>
      <c r="T62" s="14" t="str">
        <f aca="false">IF($A62="","",IFERROR(VALUE($G62),$G62))</f>
        <v/>
      </c>
      <c r="U62" s="14" t="str">
        <f aca="false">IF($A62="","",IFERROR(VALUE($H62),$H62))</f>
        <v/>
      </c>
      <c r="V62" s="14" t="str">
        <f aca="false">IF($A62="","",IFERROR(VALUE($I62),$I62))</f>
        <v/>
      </c>
      <c r="W62" s="14" t="str">
        <f aca="false">IF($A62="","",IFERROR(VALUE($J62),$J62))</f>
        <v/>
      </c>
      <c r="X62" s="14" t="str">
        <f aca="false">IF($A62="","",$B$5)</f>
        <v/>
      </c>
      <c r="Y62" s="14" t="str">
        <f aca="true">IF($A62="","",TODAY())</f>
        <v/>
      </c>
    </row>
    <row r="63" customFormat="false" ht="15" hidden="false" customHeight="false" outlineLevel="0" collapsed="false">
      <c r="A63" s="14"/>
      <c r="B63" s="14"/>
      <c r="C63" s="14"/>
      <c r="D63" s="14"/>
      <c r="E63" s="14"/>
      <c r="F63" s="14"/>
      <c r="G63" s="14"/>
      <c r="H63" s="14"/>
      <c r="I63" s="14"/>
      <c r="J63" s="14"/>
      <c r="M63" s="14" t="str">
        <f aca="false">IF($A63="","",$B$4)</f>
        <v/>
      </c>
      <c r="N63" s="14" t="str">
        <f aca="false">IF($A63="","",TRIM($A63))</f>
        <v/>
      </c>
      <c r="O63" s="14" t="str">
        <f aca="false">IF($A63="","",TRIM($B63))</f>
        <v/>
      </c>
      <c r="P63" s="14" t="str">
        <f aca="false">IF($A63="","",IFERROR(VALUE($C63),$C63))</f>
        <v/>
      </c>
      <c r="Q63" s="14" t="str">
        <f aca="false">IF($A63="","",IFERROR(VALUE($D63),$D63))</f>
        <v/>
      </c>
      <c r="R63" s="14" t="str">
        <f aca="false">IF($A63="","",IFERROR(VALUE($E63),$E63))</f>
        <v/>
      </c>
      <c r="S63" s="14" t="str">
        <f aca="false">IF($A63="","",IFERROR(VALUE($F63),$F63))</f>
        <v/>
      </c>
      <c r="T63" s="14" t="str">
        <f aca="false">IF($A63="","",IFERROR(VALUE($G63),$G63))</f>
        <v/>
      </c>
      <c r="U63" s="14" t="str">
        <f aca="false">IF($A63="","",IFERROR(VALUE($H63),$H63))</f>
        <v/>
      </c>
      <c r="V63" s="14" t="str">
        <f aca="false">IF($A63="","",IFERROR(VALUE($I63),$I63))</f>
        <v/>
      </c>
      <c r="W63" s="14" t="str">
        <f aca="false">IF($A63="","",IFERROR(VALUE($J63),$J63))</f>
        <v/>
      </c>
      <c r="X63" s="14" t="str">
        <f aca="false">IF($A63="","",$B$5)</f>
        <v/>
      </c>
      <c r="Y63" s="14" t="str">
        <f aca="true">IF($A63="","",TODAY())</f>
        <v/>
      </c>
    </row>
    <row r="64" customFormat="false" ht="15" hidden="false" customHeight="false" outlineLevel="0" collapsed="false">
      <c r="A64" s="14"/>
      <c r="B64" s="14"/>
      <c r="C64" s="14"/>
      <c r="D64" s="14"/>
      <c r="E64" s="14"/>
      <c r="F64" s="14"/>
      <c r="G64" s="14"/>
      <c r="H64" s="14"/>
      <c r="I64" s="14"/>
      <c r="J64" s="14"/>
      <c r="M64" s="14" t="str">
        <f aca="false">IF($A64="","",$B$4)</f>
        <v/>
      </c>
      <c r="N64" s="14" t="str">
        <f aca="false">IF($A64="","",TRIM($A64))</f>
        <v/>
      </c>
      <c r="O64" s="14" t="str">
        <f aca="false">IF($A64="","",TRIM($B64))</f>
        <v/>
      </c>
      <c r="P64" s="14" t="str">
        <f aca="false">IF($A64="","",IFERROR(VALUE($C64),$C64))</f>
        <v/>
      </c>
      <c r="Q64" s="14" t="str">
        <f aca="false">IF($A64="","",IFERROR(VALUE($D64),$D64))</f>
        <v/>
      </c>
      <c r="R64" s="14" t="str">
        <f aca="false">IF($A64="","",IFERROR(VALUE($E64),$E64))</f>
        <v/>
      </c>
      <c r="S64" s="14" t="str">
        <f aca="false">IF($A64="","",IFERROR(VALUE($F64),$F64))</f>
        <v/>
      </c>
      <c r="T64" s="14" t="str">
        <f aca="false">IF($A64="","",IFERROR(VALUE($G64),$G64))</f>
        <v/>
      </c>
      <c r="U64" s="14" t="str">
        <f aca="false">IF($A64="","",IFERROR(VALUE($H64),$H64))</f>
        <v/>
      </c>
      <c r="V64" s="14" t="str">
        <f aca="false">IF($A64="","",IFERROR(VALUE($I64),$I64))</f>
        <v/>
      </c>
      <c r="W64" s="14" t="str">
        <f aca="false">IF($A64="","",IFERROR(VALUE($J64),$J64))</f>
        <v/>
      </c>
      <c r="X64" s="14" t="str">
        <f aca="false">IF($A64="","",$B$5)</f>
        <v/>
      </c>
      <c r="Y64" s="14" t="str">
        <f aca="true">IF($A64="","",TODAY())</f>
        <v/>
      </c>
    </row>
    <row r="65" customFormat="false" ht="15" hidden="false" customHeight="false" outlineLevel="0" collapsed="false">
      <c r="A65" s="14"/>
      <c r="B65" s="14"/>
      <c r="C65" s="14"/>
      <c r="D65" s="14"/>
      <c r="E65" s="14"/>
      <c r="F65" s="14"/>
      <c r="G65" s="14"/>
      <c r="H65" s="14"/>
      <c r="I65" s="14"/>
      <c r="J65" s="14"/>
      <c r="M65" s="14" t="str">
        <f aca="false">IF($A65="","",$B$4)</f>
        <v/>
      </c>
      <c r="N65" s="14" t="str">
        <f aca="false">IF($A65="","",TRIM($A65))</f>
        <v/>
      </c>
      <c r="O65" s="14" t="str">
        <f aca="false">IF($A65="","",TRIM($B65))</f>
        <v/>
      </c>
      <c r="P65" s="14" t="str">
        <f aca="false">IF($A65="","",IFERROR(VALUE($C65),$C65))</f>
        <v/>
      </c>
      <c r="Q65" s="14" t="str">
        <f aca="false">IF($A65="","",IFERROR(VALUE($D65),$D65))</f>
        <v/>
      </c>
      <c r="R65" s="14" t="str">
        <f aca="false">IF($A65="","",IFERROR(VALUE($E65),$E65))</f>
        <v/>
      </c>
      <c r="S65" s="14" t="str">
        <f aca="false">IF($A65="","",IFERROR(VALUE($F65),$F65))</f>
        <v/>
      </c>
      <c r="T65" s="14" t="str">
        <f aca="false">IF($A65="","",IFERROR(VALUE($G65),$G65))</f>
        <v/>
      </c>
      <c r="U65" s="14" t="str">
        <f aca="false">IF($A65="","",IFERROR(VALUE($H65),$H65))</f>
        <v/>
      </c>
      <c r="V65" s="14" t="str">
        <f aca="false">IF($A65="","",IFERROR(VALUE($I65),$I65))</f>
        <v/>
      </c>
      <c r="W65" s="14" t="str">
        <f aca="false">IF($A65="","",IFERROR(VALUE($J65),$J65))</f>
        <v/>
      </c>
      <c r="X65" s="14" t="str">
        <f aca="false">IF($A65="","",$B$5)</f>
        <v/>
      </c>
      <c r="Y65" s="14" t="str">
        <f aca="true">IF($A65="","",TODAY())</f>
        <v/>
      </c>
    </row>
    <row r="66" customFormat="false" ht="15" hidden="false" customHeight="false" outlineLevel="0" collapsed="false">
      <c r="A66" s="14"/>
      <c r="B66" s="14"/>
      <c r="C66" s="14"/>
      <c r="D66" s="14"/>
      <c r="E66" s="14"/>
      <c r="F66" s="14"/>
      <c r="G66" s="14"/>
      <c r="H66" s="14"/>
      <c r="I66" s="14"/>
      <c r="J66" s="14"/>
      <c r="M66" s="14" t="str">
        <f aca="false">IF($A66="","",$B$4)</f>
        <v/>
      </c>
      <c r="N66" s="14" t="str">
        <f aca="false">IF($A66="","",TRIM($A66))</f>
        <v/>
      </c>
      <c r="O66" s="14" t="str">
        <f aca="false">IF($A66="","",TRIM($B66))</f>
        <v/>
      </c>
      <c r="P66" s="14" t="str">
        <f aca="false">IF($A66="","",IFERROR(VALUE($C66),$C66))</f>
        <v/>
      </c>
      <c r="Q66" s="14" t="str">
        <f aca="false">IF($A66="","",IFERROR(VALUE($D66),$D66))</f>
        <v/>
      </c>
      <c r="R66" s="14" t="str">
        <f aca="false">IF($A66="","",IFERROR(VALUE($E66),$E66))</f>
        <v/>
      </c>
      <c r="S66" s="14" t="str">
        <f aca="false">IF($A66="","",IFERROR(VALUE($F66),$F66))</f>
        <v/>
      </c>
      <c r="T66" s="14" t="str">
        <f aca="false">IF($A66="","",IFERROR(VALUE($G66),$G66))</f>
        <v/>
      </c>
      <c r="U66" s="14" t="str">
        <f aca="false">IF($A66="","",IFERROR(VALUE($H66),$H66))</f>
        <v/>
      </c>
      <c r="V66" s="14" t="str">
        <f aca="false">IF($A66="","",IFERROR(VALUE($I66),$I66))</f>
        <v/>
      </c>
      <c r="W66" s="14" t="str">
        <f aca="false">IF($A66="","",IFERROR(VALUE($J66),$J66))</f>
        <v/>
      </c>
      <c r="X66" s="14" t="str">
        <f aca="false">IF($A66="","",$B$5)</f>
        <v/>
      </c>
      <c r="Y66" s="14" t="str">
        <f aca="true">IF($A66="","",TODAY())</f>
        <v/>
      </c>
    </row>
  </sheetData>
  <mergeCells count="4">
    <mergeCell ref="A1:J1"/>
    <mergeCell ref="A2:J2"/>
    <mergeCell ref="B5:E5"/>
    <mergeCell ref="M6:Y6"/>
  </mergeCells>
  <dataValidations count="1">
    <dataValidation allowBlank="true" errorStyle="stop" operator="between" showDropDown="false" showErrorMessage="false" showInputMessage="false" sqref="B4" type="list">
      <formula1>Lists!$A$2:$A$28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11" min="4" style="0" width="16"/>
    <col collapsed="false" customWidth="true" hidden="false" outlineLevel="0" max="12" min="12" style="0" width="45"/>
    <col collapsed="false" customWidth="true" hidden="false" outlineLevel="0" max="13" min="13" style="0" width="16"/>
  </cols>
  <sheetData>
    <row r="1" customFormat="false" ht="15" hidden="false" customHeight="false" outlineLevel="0" collapsed="false">
      <c r="A1" s="12" t="s">
        <v>63</v>
      </c>
      <c r="B1" s="12" t="s">
        <v>72</v>
      </c>
      <c r="C1" s="12" t="s">
        <v>52</v>
      </c>
      <c r="D1" s="12" t="s">
        <v>84</v>
      </c>
      <c r="E1" s="12" t="s">
        <v>85</v>
      </c>
      <c r="F1" s="12" t="s">
        <v>86</v>
      </c>
      <c r="G1" s="12" t="s">
        <v>87</v>
      </c>
      <c r="H1" s="12" t="s">
        <v>88</v>
      </c>
      <c r="I1" s="12" t="s">
        <v>89</v>
      </c>
      <c r="J1" s="12" t="s">
        <v>90</v>
      </c>
      <c r="K1" s="12" t="s">
        <v>91</v>
      </c>
      <c r="L1" s="12" t="s">
        <v>64</v>
      </c>
      <c r="M1" s="12" t="s">
        <v>65</v>
      </c>
    </row>
    <row r="2" customFormat="false" ht="15" hidden="false" customHeight="false" outlineLevel="0" collapsed="false">
      <c r="A2" s="17" t="s">
        <v>67</v>
      </c>
      <c r="B2" s="17" t="s">
        <v>81</v>
      </c>
      <c r="C2" s="17" t="s">
        <v>68</v>
      </c>
      <c r="D2" s="17" t="n">
        <v>110</v>
      </c>
      <c r="E2" s="17" t="n">
        <v>480</v>
      </c>
      <c r="F2" s="17" t="n">
        <v>22</v>
      </c>
      <c r="G2" s="17" t="n">
        <v>8</v>
      </c>
      <c r="H2" s="17" t="n">
        <v>14</v>
      </c>
      <c r="I2" s="17" t="n">
        <v>95</v>
      </c>
      <c r="J2" s="19" t="n">
        <v>0.87</v>
      </c>
      <c r="K2" s="17" t="n">
        <v>6</v>
      </c>
      <c r="L2" s="17" t="s">
        <v>93</v>
      </c>
      <c r="M2" s="18" t="n">
        <f aca="true">TODAY()</f>
        <v>46237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9"/>
    <col collapsed="false" customWidth="true" hidden="false" outlineLevel="0" max="6" min="4" style="0" width="8"/>
    <col collapsed="false" customWidth="true" hidden="false" outlineLevel="0" max="7" min="7" style="0" width="11"/>
    <col collapsed="false" customWidth="true" hidden="false" outlineLevel="0" max="8" min="8" style="0" width="13"/>
    <col collapsed="false" customWidth="true" hidden="false" outlineLevel="0" max="10" min="9" style="0" width="11"/>
    <col collapsed="false" customWidth="true" hidden="false" outlineLevel="0" max="11" min="11" style="0" width="12"/>
    <col collapsed="false" customWidth="true" hidden="false" outlineLevel="0" max="13" min="13" style="0" width="20"/>
  </cols>
  <sheetData>
    <row r="1" customFormat="false" ht="19.7" hidden="false" customHeight="false" outlineLevel="0" collapsed="false">
      <c r="A1" s="1" t="s">
        <v>94</v>
      </c>
    </row>
    <row r="2" customFormat="false" ht="15" hidden="false" customHeight="false" outlineLevel="0" collapsed="false">
      <c r="A2" s="20" t="s">
        <v>95</v>
      </c>
    </row>
    <row r="4" customFormat="false" ht="15" hidden="false" customHeight="false" outlineLevel="0" collapsed="false">
      <c r="B4" s="9" t="s">
        <v>96</v>
      </c>
      <c r="C4" s="21" t="s">
        <v>97</v>
      </c>
    </row>
    <row r="6" customFormat="false" ht="15" hidden="false" customHeight="false" outlineLevel="0" collapsed="false">
      <c r="A6" s="12" t="s">
        <v>51</v>
      </c>
      <c r="B6" s="12" t="s">
        <v>52</v>
      </c>
      <c r="C6" s="12" t="s">
        <v>53</v>
      </c>
      <c r="D6" s="12" t="s">
        <v>54</v>
      </c>
      <c r="E6" s="12" t="s">
        <v>55</v>
      </c>
      <c r="F6" s="12" t="s">
        <v>56</v>
      </c>
      <c r="G6" s="12" t="s">
        <v>57</v>
      </c>
      <c r="H6" s="12" t="s">
        <v>58</v>
      </c>
      <c r="I6" s="12" t="s">
        <v>59</v>
      </c>
      <c r="J6" s="12" t="s">
        <v>60</v>
      </c>
      <c r="K6" s="12" t="s">
        <v>61</v>
      </c>
      <c r="M6" s="20" t="s">
        <v>98</v>
      </c>
    </row>
    <row r="7" customFormat="false" ht="15" hidden="false" customHeight="false" outlineLevel="0" collapsed="false">
      <c r="A7" s="22" t="str">
        <f aca="false">IFERROR(INDEX(TeamStatsArchive[Position],MATCH($M7,TeamStatsArchive[SeasonPositionKey],0)),"")</f>
        <v/>
      </c>
      <c r="B7" s="22" t="str">
        <f aca="false">IFERROR(INDEX(TeamStatsArchive[Team],MATCH($M7,TeamStatsArchive[SeasonPositionKey],0)),"")</f>
        <v/>
      </c>
      <c r="C7" s="22" t="str">
        <f aca="false">IFERROR(INDEX(TeamStatsArchive[Played],MATCH($M7,TeamStatsArchive[SeasonPositionKey],0)),"")</f>
        <v/>
      </c>
      <c r="D7" s="22" t="str">
        <f aca="false">IFERROR(INDEX(TeamStatsArchive[Won],MATCH($M7,TeamStatsArchive[SeasonPositionKey],0)),"")</f>
        <v/>
      </c>
      <c r="E7" s="22" t="str">
        <f aca="false">IFERROR(INDEX(TeamStatsArchive[Drawn],MATCH($M7,TeamStatsArchive[SeasonPositionKey],0)),"")</f>
        <v/>
      </c>
      <c r="F7" s="22" t="str">
        <f aca="false">IFERROR(INDEX(TeamStatsArchive[Lost],MATCH($M7,TeamStatsArchive[SeasonPositionKey],0)),"")</f>
        <v/>
      </c>
      <c r="G7" s="22" t="str">
        <f aca="false">IFERROR(INDEX(TeamStatsArchive[PointsFor],MATCH($M7,TeamStatsArchive[SeasonPositionKey],0)),"")</f>
        <v/>
      </c>
      <c r="H7" s="22" t="str">
        <f aca="false">IFERROR(INDEX(TeamStatsArchive[PointsAgainst],MATCH($M7,TeamStatsArchive[SeasonPositionKey],0)),"")</f>
        <v/>
      </c>
      <c r="I7" s="22" t="str">
        <f aca="false">IFERROR(INDEX(TeamStatsArchive[PointsDiff],MATCH($M7,TeamStatsArchive[SeasonPositionKey],0)),"")</f>
        <v/>
      </c>
      <c r="J7" s="22" t="str">
        <f aca="false">IFERROR(INDEX(TeamStatsArchive[BonusPoints],MATCH($M7,TeamStatsArchive[SeasonPositionKey],0)),"")</f>
        <v/>
      </c>
      <c r="K7" s="22" t="str">
        <f aca="false">IFERROR(INDEX(TeamStatsArchive[LeaguePoints],MATCH($M7,TeamStatsArchive[SeasonPositionKey],0)),"")</f>
        <v/>
      </c>
      <c r="M7" s="16" t="str">
        <f aca="false">$C$4&amp;"|"&amp;1</f>
        <v>2026/27|1</v>
      </c>
    </row>
    <row r="8" customFormat="false" ht="15" hidden="false" customHeight="false" outlineLevel="0" collapsed="false">
      <c r="A8" s="22" t="str">
        <f aca="false">IFERROR(INDEX(TeamStatsArchive[Position],MATCH($M8,TeamStatsArchive[SeasonPositionKey],0)),"")</f>
        <v/>
      </c>
      <c r="B8" s="22" t="str">
        <f aca="false">IFERROR(INDEX(TeamStatsArchive[Team],MATCH($M8,TeamStatsArchive[SeasonPositionKey],0)),"")</f>
        <v/>
      </c>
      <c r="C8" s="22" t="str">
        <f aca="false">IFERROR(INDEX(TeamStatsArchive[Played],MATCH($M8,TeamStatsArchive[SeasonPositionKey],0)),"")</f>
        <v/>
      </c>
      <c r="D8" s="22" t="str">
        <f aca="false">IFERROR(INDEX(TeamStatsArchive[Won],MATCH($M8,TeamStatsArchive[SeasonPositionKey],0)),"")</f>
        <v/>
      </c>
      <c r="E8" s="22" t="str">
        <f aca="false">IFERROR(INDEX(TeamStatsArchive[Drawn],MATCH($M8,TeamStatsArchive[SeasonPositionKey],0)),"")</f>
        <v/>
      </c>
      <c r="F8" s="22" t="str">
        <f aca="false">IFERROR(INDEX(TeamStatsArchive[Lost],MATCH($M8,TeamStatsArchive[SeasonPositionKey],0)),"")</f>
        <v/>
      </c>
      <c r="G8" s="22" t="str">
        <f aca="false">IFERROR(INDEX(TeamStatsArchive[PointsFor],MATCH($M8,TeamStatsArchive[SeasonPositionKey],0)),"")</f>
        <v/>
      </c>
      <c r="H8" s="22" t="str">
        <f aca="false">IFERROR(INDEX(TeamStatsArchive[PointsAgainst],MATCH($M8,TeamStatsArchive[SeasonPositionKey],0)),"")</f>
        <v/>
      </c>
      <c r="I8" s="22" t="str">
        <f aca="false">IFERROR(INDEX(TeamStatsArchive[PointsDiff],MATCH($M8,TeamStatsArchive[SeasonPositionKey],0)),"")</f>
        <v/>
      </c>
      <c r="J8" s="22" t="str">
        <f aca="false">IFERROR(INDEX(TeamStatsArchive[BonusPoints],MATCH($M8,TeamStatsArchive[SeasonPositionKey],0)),"")</f>
        <v/>
      </c>
      <c r="K8" s="22" t="str">
        <f aca="false">IFERROR(INDEX(TeamStatsArchive[LeaguePoints],MATCH($M8,TeamStatsArchive[SeasonPositionKey],0)),"")</f>
        <v/>
      </c>
      <c r="M8" s="16" t="str">
        <f aca="false">$C$4&amp;"|"&amp;2</f>
        <v>2026/27|2</v>
      </c>
    </row>
    <row r="9" customFormat="false" ht="15" hidden="false" customHeight="false" outlineLevel="0" collapsed="false">
      <c r="A9" s="22" t="str">
        <f aca="false">IFERROR(INDEX(TeamStatsArchive[Position],MATCH($M9,TeamStatsArchive[SeasonPositionKey],0)),"")</f>
        <v/>
      </c>
      <c r="B9" s="22" t="str">
        <f aca="false">IFERROR(INDEX(TeamStatsArchive[Team],MATCH($M9,TeamStatsArchive[SeasonPositionKey],0)),"")</f>
        <v/>
      </c>
      <c r="C9" s="22" t="str">
        <f aca="false">IFERROR(INDEX(TeamStatsArchive[Played],MATCH($M9,TeamStatsArchive[SeasonPositionKey],0)),"")</f>
        <v/>
      </c>
      <c r="D9" s="22" t="str">
        <f aca="false">IFERROR(INDEX(TeamStatsArchive[Won],MATCH($M9,TeamStatsArchive[SeasonPositionKey],0)),"")</f>
        <v/>
      </c>
      <c r="E9" s="22" t="str">
        <f aca="false">IFERROR(INDEX(TeamStatsArchive[Drawn],MATCH($M9,TeamStatsArchive[SeasonPositionKey],0)),"")</f>
        <v/>
      </c>
      <c r="F9" s="22" t="str">
        <f aca="false">IFERROR(INDEX(TeamStatsArchive[Lost],MATCH($M9,TeamStatsArchive[SeasonPositionKey],0)),"")</f>
        <v/>
      </c>
      <c r="G9" s="22" t="str">
        <f aca="false">IFERROR(INDEX(TeamStatsArchive[PointsFor],MATCH($M9,TeamStatsArchive[SeasonPositionKey],0)),"")</f>
        <v/>
      </c>
      <c r="H9" s="22" t="str">
        <f aca="false">IFERROR(INDEX(TeamStatsArchive[PointsAgainst],MATCH($M9,TeamStatsArchive[SeasonPositionKey],0)),"")</f>
        <v/>
      </c>
      <c r="I9" s="22" t="str">
        <f aca="false">IFERROR(INDEX(TeamStatsArchive[PointsDiff],MATCH($M9,TeamStatsArchive[SeasonPositionKey],0)),"")</f>
        <v/>
      </c>
      <c r="J9" s="22" t="str">
        <f aca="false">IFERROR(INDEX(TeamStatsArchive[BonusPoints],MATCH($M9,TeamStatsArchive[SeasonPositionKey],0)),"")</f>
        <v/>
      </c>
      <c r="K9" s="22" t="str">
        <f aca="false">IFERROR(INDEX(TeamStatsArchive[LeaguePoints],MATCH($M9,TeamStatsArchive[SeasonPositionKey],0)),"")</f>
        <v/>
      </c>
      <c r="M9" s="16" t="str">
        <f aca="false">$C$4&amp;"|"&amp;3</f>
        <v>2026/27|3</v>
      </c>
    </row>
    <row r="10" customFormat="false" ht="15" hidden="false" customHeight="false" outlineLevel="0" collapsed="false">
      <c r="A10" s="22" t="str">
        <f aca="false">IFERROR(INDEX(TeamStatsArchive[Position],MATCH($M10,TeamStatsArchive[SeasonPositionKey],0)),"")</f>
        <v/>
      </c>
      <c r="B10" s="22" t="str">
        <f aca="false">IFERROR(INDEX(TeamStatsArchive[Team],MATCH($M10,TeamStatsArchive[SeasonPositionKey],0)),"")</f>
        <v/>
      </c>
      <c r="C10" s="22" t="str">
        <f aca="false">IFERROR(INDEX(TeamStatsArchive[Played],MATCH($M10,TeamStatsArchive[SeasonPositionKey],0)),"")</f>
        <v/>
      </c>
      <c r="D10" s="22" t="str">
        <f aca="false">IFERROR(INDEX(TeamStatsArchive[Won],MATCH($M10,TeamStatsArchive[SeasonPositionKey],0)),"")</f>
        <v/>
      </c>
      <c r="E10" s="22" t="str">
        <f aca="false">IFERROR(INDEX(TeamStatsArchive[Drawn],MATCH($M10,TeamStatsArchive[SeasonPositionKey],0)),"")</f>
        <v/>
      </c>
      <c r="F10" s="22" t="str">
        <f aca="false">IFERROR(INDEX(TeamStatsArchive[Lost],MATCH($M10,TeamStatsArchive[SeasonPositionKey],0)),"")</f>
        <v/>
      </c>
      <c r="G10" s="22" t="str">
        <f aca="false">IFERROR(INDEX(TeamStatsArchive[PointsFor],MATCH($M10,TeamStatsArchive[SeasonPositionKey],0)),"")</f>
        <v/>
      </c>
      <c r="H10" s="22" t="str">
        <f aca="false">IFERROR(INDEX(TeamStatsArchive[PointsAgainst],MATCH($M10,TeamStatsArchive[SeasonPositionKey],0)),"")</f>
        <v/>
      </c>
      <c r="I10" s="22" t="str">
        <f aca="false">IFERROR(INDEX(TeamStatsArchive[PointsDiff],MATCH($M10,TeamStatsArchive[SeasonPositionKey],0)),"")</f>
        <v/>
      </c>
      <c r="J10" s="22" t="str">
        <f aca="false">IFERROR(INDEX(TeamStatsArchive[BonusPoints],MATCH($M10,TeamStatsArchive[SeasonPositionKey],0)),"")</f>
        <v/>
      </c>
      <c r="K10" s="22" t="str">
        <f aca="false">IFERROR(INDEX(TeamStatsArchive[LeaguePoints],MATCH($M10,TeamStatsArchive[SeasonPositionKey],0)),"")</f>
        <v/>
      </c>
      <c r="M10" s="16" t="str">
        <f aca="false">$C$4&amp;"|"&amp;4</f>
        <v>2026/27|4</v>
      </c>
    </row>
    <row r="11" customFormat="false" ht="15" hidden="false" customHeight="false" outlineLevel="0" collapsed="false">
      <c r="A11" s="22" t="str">
        <f aca="false">IFERROR(INDEX(TeamStatsArchive[Position],MATCH($M11,TeamStatsArchive[SeasonPositionKey],0)),"")</f>
        <v/>
      </c>
      <c r="B11" s="22" t="str">
        <f aca="false">IFERROR(INDEX(TeamStatsArchive[Team],MATCH($M11,TeamStatsArchive[SeasonPositionKey],0)),"")</f>
        <v/>
      </c>
      <c r="C11" s="22" t="str">
        <f aca="false">IFERROR(INDEX(TeamStatsArchive[Played],MATCH($M11,TeamStatsArchive[SeasonPositionKey],0)),"")</f>
        <v/>
      </c>
      <c r="D11" s="22" t="str">
        <f aca="false">IFERROR(INDEX(TeamStatsArchive[Won],MATCH($M11,TeamStatsArchive[SeasonPositionKey],0)),"")</f>
        <v/>
      </c>
      <c r="E11" s="22" t="str">
        <f aca="false">IFERROR(INDEX(TeamStatsArchive[Drawn],MATCH($M11,TeamStatsArchive[SeasonPositionKey],0)),"")</f>
        <v/>
      </c>
      <c r="F11" s="22" t="str">
        <f aca="false">IFERROR(INDEX(TeamStatsArchive[Lost],MATCH($M11,TeamStatsArchive[SeasonPositionKey],0)),"")</f>
        <v/>
      </c>
      <c r="G11" s="22" t="str">
        <f aca="false">IFERROR(INDEX(TeamStatsArchive[PointsFor],MATCH($M11,TeamStatsArchive[SeasonPositionKey],0)),"")</f>
        <v/>
      </c>
      <c r="H11" s="22" t="str">
        <f aca="false">IFERROR(INDEX(TeamStatsArchive[PointsAgainst],MATCH($M11,TeamStatsArchive[SeasonPositionKey],0)),"")</f>
        <v/>
      </c>
      <c r="I11" s="22" t="str">
        <f aca="false">IFERROR(INDEX(TeamStatsArchive[PointsDiff],MATCH($M11,TeamStatsArchive[SeasonPositionKey],0)),"")</f>
        <v/>
      </c>
      <c r="J11" s="22" t="str">
        <f aca="false">IFERROR(INDEX(TeamStatsArchive[BonusPoints],MATCH($M11,TeamStatsArchive[SeasonPositionKey],0)),"")</f>
        <v/>
      </c>
      <c r="K11" s="22" t="str">
        <f aca="false">IFERROR(INDEX(TeamStatsArchive[LeaguePoints],MATCH($M11,TeamStatsArchive[SeasonPositionKey],0)),"")</f>
        <v/>
      </c>
      <c r="M11" s="16" t="str">
        <f aca="false">$C$4&amp;"|"&amp;5</f>
        <v>2026/27|5</v>
      </c>
    </row>
    <row r="12" customFormat="false" ht="15" hidden="false" customHeight="false" outlineLevel="0" collapsed="false">
      <c r="A12" s="22" t="str">
        <f aca="false">IFERROR(INDEX(TeamStatsArchive[Position],MATCH($M12,TeamStatsArchive[SeasonPositionKey],0)),"")</f>
        <v/>
      </c>
      <c r="B12" s="22" t="str">
        <f aca="false">IFERROR(INDEX(TeamStatsArchive[Team],MATCH($M12,TeamStatsArchive[SeasonPositionKey],0)),"")</f>
        <v/>
      </c>
      <c r="C12" s="22" t="str">
        <f aca="false">IFERROR(INDEX(TeamStatsArchive[Played],MATCH($M12,TeamStatsArchive[SeasonPositionKey],0)),"")</f>
        <v/>
      </c>
      <c r="D12" s="22" t="str">
        <f aca="false">IFERROR(INDEX(TeamStatsArchive[Won],MATCH($M12,TeamStatsArchive[SeasonPositionKey],0)),"")</f>
        <v/>
      </c>
      <c r="E12" s="22" t="str">
        <f aca="false">IFERROR(INDEX(TeamStatsArchive[Drawn],MATCH($M12,TeamStatsArchive[SeasonPositionKey],0)),"")</f>
        <v/>
      </c>
      <c r="F12" s="22" t="str">
        <f aca="false">IFERROR(INDEX(TeamStatsArchive[Lost],MATCH($M12,TeamStatsArchive[SeasonPositionKey],0)),"")</f>
        <v/>
      </c>
      <c r="G12" s="22" t="str">
        <f aca="false">IFERROR(INDEX(TeamStatsArchive[PointsFor],MATCH($M12,TeamStatsArchive[SeasonPositionKey],0)),"")</f>
        <v/>
      </c>
      <c r="H12" s="22" t="str">
        <f aca="false">IFERROR(INDEX(TeamStatsArchive[PointsAgainst],MATCH($M12,TeamStatsArchive[SeasonPositionKey],0)),"")</f>
        <v/>
      </c>
      <c r="I12" s="22" t="str">
        <f aca="false">IFERROR(INDEX(TeamStatsArchive[PointsDiff],MATCH($M12,TeamStatsArchive[SeasonPositionKey],0)),"")</f>
        <v/>
      </c>
      <c r="J12" s="22" t="str">
        <f aca="false">IFERROR(INDEX(TeamStatsArchive[BonusPoints],MATCH($M12,TeamStatsArchive[SeasonPositionKey],0)),"")</f>
        <v/>
      </c>
      <c r="K12" s="22" t="str">
        <f aca="false">IFERROR(INDEX(TeamStatsArchive[LeaguePoints],MATCH($M12,TeamStatsArchive[SeasonPositionKey],0)),"")</f>
        <v/>
      </c>
      <c r="M12" s="16" t="str">
        <f aca="false">$C$4&amp;"|"&amp;6</f>
        <v>2026/27|6</v>
      </c>
    </row>
    <row r="13" customFormat="false" ht="15" hidden="false" customHeight="false" outlineLevel="0" collapsed="false">
      <c r="A13" s="22" t="str">
        <f aca="false">IFERROR(INDEX(TeamStatsArchive[Position],MATCH($M13,TeamStatsArchive[SeasonPositionKey],0)),"")</f>
        <v/>
      </c>
      <c r="B13" s="22" t="str">
        <f aca="false">IFERROR(INDEX(TeamStatsArchive[Team],MATCH($M13,TeamStatsArchive[SeasonPositionKey],0)),"")</f>
        <v/>
      </c>
      <c r="C13" s="22" t="str">
        <f aca="false">IFERROR(INDEX(TeamStatsArchive[Played],MATCH($M13,TeamStatsArchive[SeasonPositionKey],0)),"")</f>
        <v/>
      </c>
      <c r="D13" s="22" t="str">
        <f aca="false">IFERROR(INDEX(TeamStatsArchive[Won],MATCH($M13,TeamStatsArchive[SeasonPositionKey],0)),"")</f>
        <v/>
      </c>
      <c r="E13" s="22" t="str">
        <f aca="false">IFERROR(INDEX(TeamStatsArchive[Drawn],MATCH($M13,TeamStatsArchive[SeasonPositionKey],0)),"")</f>
        <v/>
      </c>
      <c r="F13" s="22" t="str">
        <f aca="false">IFERROR(INDEX(TeamStatsArchive[Lost],MATCH($M13,TeamStatsArchive[SeasonPositionKey],0)),"")</f>
        <v/>
      </c>
      <c r="G13" s="22" t="str">
        <f aca="false">IFERROR(INDEX(TeamStatsArchive[PointsFor],MATCH($M13,TeamStatsArchive[SeasonPositionKey],0)),"")</f>
        <v/>
      </c>
      <c r="H13" s="22" t="str">
        <f aca="false">IFERROR(INDEX(TeamStatsArchive[PointsAgainst],MATCH($M13,TeamStatsArchive[SeasonPositionKey],0)),"")</f>
        <v/>
      </c>
      <c r="I13" s="22" t="str">
        <f aca="false">IFERROR(INDEX(TeamStatsArchive[PointsDiff],MATCH($M13,TeamStatsArchive[SeasonPositionKey],0)),"")</f>
        <v/>
      </c>
      <c r="J13" s="22" t="str">
        <f aca="false">IFERROR(INDEX(TeamStatsArchive[BonusPoints],MATCH($M13,TeamStatsArchive[SeasonPositionKey],0)),"")</f>
        <v/>
      </c>
      <c r="K13" s="22" t="str">
        <f aca="false">IFERROR(INDEX(TeamStatsArchive[LeaguePoints],MATCH($M13,TeamStatsArchive[SeasonPositionKey],0)),"")</f>
        <v/>
      </c>
      <c r="M13" s="16" t="str">
        <f aca="false">$C$4&amp;"|"&amp;7</f>
        <v>2026/27|7</v>
      </c>
    </row>
    <row r="14" customFormat="false" ht="15" hidden="false" customHeight="false" outlineLevel="0" collapsed="false">
      <c r="A14" s="22" t="str">
        <f aca="false">IFERROR(INDEX(TeamStatsArchive[Position],MATCH($M14,TeamStatsArchive[SeasonPositionKey],0)),"")</f>
        <v/>
      </c>
      <c r="B14" s="22" t="str">
        <f aca="false">IFERROR(INDEX(TeamStatsArchive[Team],MATCH($M14,TeamStatsArchive[SeasonPositionKey],0)),"")</f>
        <v/>
      </c>
      <c r="C14" s="22" t="str">
        <f aca="false">IFERROR(INDEX(TeamStatsArchive[Played],MATCH($M14,TeamStatsArchive[SeasonPositionKey],0)),"")</f>
        <v/>
      </c>
      <c r="D14" s="22" t="str">
        <f aca="false">IFERROR(INDEX(TeamStatsArchive[Won],MATCH($M14,TeamStatsArchive[SeasonPositionKey],0)),"")</f>
        <v/>
      </c>
      <c r="E14" s="22" t="str">
        <f aca="false">IFERROR(INDEX(TeamStatsArchive[Drawn],MATCH($M14,TeamStatsArchive[SeasonPositionKey],0)),"")</f>
        <v/>
      </c>
      <c r="F14" s="22" t="str">
        <f aca="false">IFERROR(INDEX(TeamStatsArchive[Lost],MATCH($M14,TeamStatsArchive[SeasonPositionKey],0)),"")</f>
        <v/>
      </c>
      <c r="G14" s="22" t="str">
        <f aca="false">IFERROR(INDEX(TeamStatsArchive[PointsFor],MATCH($M14,TeamStatsArchive[SeasonPositionKey],0)),"")</f>
        <v/>
      </c>
      <c r="H14" s="22" t="str">
        <f aca="false">IFERROR(INDEX(TeamStatsArchive[PointsAgainst],MATCH($M14,TeamStatsArchive[SeasonPositionKey],0)),"")</f>
        <v/>
      </c>
      <c r="I14" s="22" t="str">
        <f aca="false">IFERROR(INDEX(TeamStatsArchive[PointsDiff],MATCH($M14,TeamStatsArchive[SeasonPositionKey],0)),"")</f>
        <v/>
      </c>
      <c r="J14" s="22" t="str">
        <f aca="false">IFERROR(INDEX(TeamStatsArchive[BonusPoints],MATCH($M14,TeamStatsArchive[SeasonPositionKey],0)),"")</f>
        <v/>
      </c>
      <c r="K14" s="22" t="str">
        <f aca="false">IFERROR(INDEX(TeamStatsArchive[LeaguePoints],MATCH($M14,TeamStatsArchive[SeasonPositionKey],0)),"")</f>
        <v/>
      </c>
      <c r="M14" s="16" t="str">
        <f aca="false">$C$4&amp;"|"&amp;8</f>
        <v>2026/27|8</v>
      </c>
    </row>
    <row r="15" customFormat="false" ht="15" hidden="false" customHeight="false" outlineLevel="0" collapsed="false">
      <c r="A15" s="22" t="str">
        <f aca="false">IFERROR(INDEX(TeamStatsArchive[Position],MATCH($M15,TeamStatsArchive[SeasonPositionKey],0)),"")</f>
        <v/>
      </c>
      <c r="B15" s="22" t="str">
        <f aca="false">IFERROR(INDEX(TeamStatsArchive[Team],MATCH($M15,TeamStatsArchive[SeasonPositionKey],0)),"")</f>
        <v/>
      </c>
      <c r="C15" s="22" t="str">
        <f aca="false">IFERROR(INDEX(TeamStatsArchive[Played],MATCH($M15,TeamStatsArchive[SeasonPositionKey],0)),"")</f>
        <v/>
      </c>
      <c r="D15" s="22" t="str">
        <f aca="false">IFERROR(INDEX(TeamStatsArchive[Won],MATCH($M15,TeamStatsArchive[SeasonPositionKey],0)),"")</f>
        <v/>
      </c>
      <c r="E15" s="22" t="str">
        <f aca="false">IFERROR(INDEX(TeamStatsArchive[Drawn],MATCH($M15,TeamStatsArchive[SeasonPositionKey],0)),"")</f>
        <v/>
      </c>
      <c r="F15" s="22" t="str">
        <f aca="false">IFERROR(INDEX(TeamStatsArchive[Lost],MATCH($M15,TeamStatsArchive[SeasonPositionKey],0)),"")</f>
        <v/>
      </c>
      <c r="G15" s="22" t="str">
        <f aca="false">IFERROR(INDEX(TeamStatsArchive[PointsFor],MATCH($M15,TeamStatsArchive[SeasonPositionKey],0)),"")</f>
        <v/>
      </c>
      <c r="H15" s="22" t="str">
        <f aca="false">IFERROR(INDEX(TeamStatsArchive[PointsAgainst],MATCH($M15,TeamStatsArchive[SeasonPositionKey],0)),"")</f>
        <v/>
      </c>
      <c r="I15" s="22" t="str">
        <f aca="false">IFERROR(INDEX(TeamStatsArchive[PointsDiff],MATCH($M15,TeamStatsArchive[SeasonPositionKey],0)),"")</f>
        <v/>
      </c>
      <c r="J15" s="22" t="str">
        <f aca="false">IFERROR(INDEX(TeamStatsArchive[BonusPoints],MATCH($M15,TeamStatsArchive[SeasonPositionKey],0)),"")</f>
        <v/>
      </c>
      <c r="K15" s="22" t="str">
        <f aca="false">IFERROR(INDEX(TeamStatsArchive[LeaguePoints],MATCH($M15,TeamStatsArchive[SeasonPositionKey],0)),"")</f>
        <v/>
      </c>
      <c r="M15" s="16" t="str">
        <f aca="false">$C$4&amp;"|"&amp;9</f>
        <v>2026/27|9</v>
      </c>
    </row>
    <row r="16" customFormat="false" ht="15" hidden="false" customHeight="false" outlineLevel="0" collapsed="false">
      <c r="A16" s="22" t="str">
        <f aca="false">IFERROR(INDEX(TeamStatsArchive[Position],MATCH($M16,TeamStatsArchive[SeasonPositionKey],0)),"")</f>
        <v/>
      </c>
      <c r="B16" s="22" t="str">
        <f aca="false">IFERROR(INDEX(TeamStatsArchive[Team],MATCH($M16,TeamStatsArchive[SeasonPositionKey],0)),"")</f>
        <v/>
      </c>
      <c r="C16" s="22" t="str">
        <f aca="false">IFERROR(INDEX(TeamStatsArchive[Played],MATCH($M16,TeamStatsArchive[SeasonPositionKey],0)),"")</f>
        <v/>
      </c>
      <c r="D16" s="22" t="str">
        <f aca="false">IFERROR(INDEX(TeamStatsArchive[Won],MATCH($M16,TeamStatsArchive[SeasonPositionKey],0)),"")</f>
        <v/>
      </c>
      <c r="E16" s="22" t="str">
        <f aca="false">IFERROR(INDEX(TeamStatsArchive[Drawn],MATCH($M16,TeamStatsArchive[SeasonPositionKey],0)),"")</f>
        <v/>
      </c>
      <c r="F16" s="22" t="str">
        <f aca="false">IFERROR(INDEX(TeamStatsArchive[Lost],MATCH($M16,TeamStatsArchive[SeasonPositionKey],0)),"")</f>
        <v/>
      </c>
      <c r="G16" s="22" t="str">
        <f aca="false">IFERROR(INDEX(TeamStatsArchive[PointsFor],MATCH($M16,TeamStatsArchive[SeasonPositionKey],0)),"")</f>
        <v/>
      </c>
      <c r="H16" s="22" t="str">
        <f aca="false">IFERROR(INDEX(TeamStatsArchive[PointsAgainst],MATCH($M16,TeamStatsArchive[SeasonPositionKey],0)),"")</f>
        <v/>
      </c>
      <c r="I16" s="22" t="str">
        <f aca="false">IFERROR(INDEX(TeamStatsArchive[PointsDiff],MATCH($M16,TeamStatsArchive[SeasonPositionKey],0)),"")</f>
        <v/>
      </c>
      <c r="J16" s="22" t="str">
        <f aca="false">IFERROR(INDEX(TeamStatsArchive[BonusPoints],MATCH($M16,TeamStatsArchive[SeasonPositionKey],0)),"")</f>
        <v/>
      </c>
      <c r="K16" s="22" t="str">
        <f aca="false">IFERROR(INDEX(TeamStatsArchive[LeaguePoints],MATCH($M16,TeamStatsArchive[SeasonPositionKey],0)),"")</f>
        <v/>
      </c>
      <c r="M16" s="16" t="str">
        <f aca="false">$C$4&amp;"|"&amp;10</f>
        <v>2026/27|10</v>
      </c>
    </row>
    <row r="17" customFormat="false" ht="15" hidden="false" customHeight="false" outlineLevel="0" collapsed="false">
      <c r="A17" s="22" t="str">
        <f aca="false">IFERROR(INDEX(TeamStatsArchive[Position],MATCH($M17,TeamStatsArchive[SeasonPositionKey],0)),"")</f>
        <v/>
      </c>
      <c r="B17" s="22" t="str">
        <f aca="false">IFERROR(INDEX(TeamStatsArchive[Team],MATCH($M17,TeamStatsArchive[SeasonPositionKey],0)),"")</f>
        <v/>
      </c>
      <c r="C17" s="22" t="str">
        <f aca="false">IFERROR(INDEX(TeamStatsArchive[Played],MATCH($M17,TeamStatsArchive[SeasonPositionKey],0)),"")</f>
        <v/>
      </c>
      <c r="D17" s="22" t="str">
        <f aca="false">IFERROR(INDEX(TeamStatsArchive[Won],MATCH($M17,TeamStatsArchive[SeasonPositionKey],0)),"")</f>
        <v/>
      </c>
      <c r="E17" s="22" t="str">
        <f aca="false">IFERROR(INDEX(TeamStatsArchive[Drawn],MATCH($M17,TeamStatsArchive[SeasonPositionKey],0)),"")</f>
        <v/>
      </c>
      <c r="F17" s="22" t="str">
        <f aca="false">IFERROR(INDEX(TeamStatsArchive[Lost],MATCH($M17,TeamStatsArchive[SeasonPositionKey],0)),"")</f>
        <v/>
      </c>
      <c r="G17" s="22" t="str">
        <f aca="false">IFERROR(INDEX(TeamStatsArchive[PointsFor],MATCH($M17,TeamStatsArchive[SeasonPositionKey],0)),"")</f>
        <v/>
      </c>
      <c r="H17" s="22" t="str">
        <f aca="false">IFERROR(INDEX(TeamStatsArchive[PointsAgainst],MATCH($M17,TeamStatsArchive[SeasonPositionKey],0)),"")</f>
        <v/>
      </c>
      <c r="I17" s="22" t="str">
        <f aca="false">IFERROR(INDEX(TeamStatsArchive[PointsDiff],MATCH($M17,TeamStatsArchive[SeasonPositionKey],0)),"")</f>
        <v/>
      </c>
      <c r="J17" s="22" t="str">
        <f aca="false">IFERROR(INDEX(TeamStatsArchive[BonusPoints],MATCH($M17,TeamStatsArchive[SeasonPositionKey],0)),"")</f>
        <v/>
      </c>
      <c r="K17" s="22" t="str">
        <f aca="false">IFERROR(INDEX(TeamStatsArchive[LeaguePoints],MATCH($M17,TeamStatsArchive[SeasonPositionKey],0)),"")</f>
        <v/>
      </c>
      <c r="M17" s="16" t="str">
        <f aca="false">$C$4&amp;"|"&amp;11</f>
        <v>2026/27|11</v>
      </c>
    </row>
    <row r="18" customFormat="false" ht="15" hidden="false" customHeight="false" outlineLevel="0" collapsed="false">
      <c r="A18" s="22" t="str">
        <f aca="false">IFERROR(INDEX(TeamStatsArchive[Position],MATCH($M18,TeamStatsArchive[SeasonPositionKey],0)),"")</f>
        <v/>
      </c>
      <c r="B18" s="22" t="str">
        <f aca="false">IFERROR(INDEX(TeamStatsArchive[Team],MATCH($M18,TeamStatsArchive[SeasonPositionKey],0)),"")</f>
        <v/>
      </c>
      <c r="C18" s="22" t="str">
        <f aca="false">IFERROR(INDEX(TeamStatsArchive[Played],MATCH($M18,TeamStatsArchive[SeasonPositionKey],0)),"")</f>
        <v/>
      </c>
      <c r="D18" s="22" t="str">
        <f aca="false">IFERROR(INDEX(TeamStatsArchive[Won],MATCH($M18,TeamStatsArchive[SeasonPositionKey],0)),"")</f>
        <v/>
      </c>
      <c r="E18" s="22" t="str">
        <f aca="false">IFERROR(INDEX(TeamStatsArchive[Drawn],MATCH($M18,TeamStatsArchive[SeasonPositionKey],0)),"")</f>
        <v/>
      </c>
      <c r="F18" s="22" t="str">
        <f aca="false">IFERROR(INDEX(TeamStatsArchive[Lost],MATCH($M18,TeamStatsArchive[SeasonPositionKey],0)),"")</f>
        <v/>
      </c>
      <c r="G18" s="22" t="str">
        <f aca="false">IFERROR(INDEX(TeamStatsArchive[PointsFor],MATCH($M18,TeamStatsArchive[SeasonPositionKey],0)),"")</f>
        <v/>
      </c>
      <c r="H18" s="22" t="str">
        <f aca="false">IFERROR(INDEX(TeamStatsArchive[PointsAgainst],MATCH($M18,TeamStatsArchive[SeasonPositionKey],0)),"")</f>
        <v/>
      </c>
      <c r="I18" s="22" t="str">
        <f aca="false">IFERROR(INDEX(TeamStatsArchive[PointsDiff],MATCH($M18,TeamStatsArchive[SeasonPositionKey],0)),"")</f>
        <v/>
      </c>
      <c r="J18" s="22" t="str">
        <f aca="false">IFERROR(INDEX(TeamStatsArchive[BonusPoints],MATCH($M18,TeamStatsArchive[SeasonPositionKey],0)),"")</f>
        <v/>
      </c>
      <c r="K18" s="22" t="str">
        <f aca="false">IFERROR(INDEX(TeamStatsArchive[LeaguePoints],MATCH($M18,TeamStatsArchive[SeasonPositionKey],0)),"")</f>
        <v/>
      </c>
      <c r="M18" s="16" t="str">
        <f aca="false">$C$4&amp;"|"&amp;12</f>
        <v>2026/27|12</v>
      </c>
    </row>
    <row r="19" customFormat="false" ht="15" hidden="false" customHeight="false" outlineLevel="0" collapsed="false">
      <c r="A19" s="22" t="str">
        <f aca="false">IFERROR(INDEX(TeamStatsArchive[Position],MATCH($M19,TeamStatsArchive[SeasonPositionKey],0)),"")</f>
        <v/>
      </c>
      <c r="B19" s="22" t="str">
        <f aca="false">IFERROR(INDEX(TeamStatsArchive[Team],MATCH($M19,TeamStatsArchive[SeasonPositionKey],0)),"")</f>
        <v/>
      </c>
      <c r="C19" s="22" t="str">
        <f aca="false">IFERROR(INDEX(TeamStatsArchive[Played],MATCH($M19,TeamStatsArchive[SeasonPositionKey],0)),"")</f>
        <v/>
      </c>
      <c r="D19" s="22" t="str">
        <f aca="false">IFERROR(INDEX(TeamStatsArchive[Won],MATCH($M19,TeamStatsArchive[SeasonPositionKey],0)),"")</f>
        <v/>
      </c>
      <c r="E19" s="22" t="str">
        <f aca="false">IFERROR(INDEX(TeamStatsArchive[Drawn],MATCH($M19,TeamStatsArchive[SeasonPositionKey],0)),"")</f>
        <v/>
      </c>
      <c r="F19" s="22" t="str">
        <f aca="false">IFERROR(INDEX(TeamStatsArchive[Lost],MATCH($M19,TeamStatsArchive[SeasonPositionKey],0)),"")</f>
        <v/>
      </c>
      <c r="G19" s="22" t="str">
        <f aca="false">IFERROR(INDEX(TeamStatsArchive[PointsFor],MATCH($M19,TeamStatsArchive[SeasonPositionKey],0)),"")</f>
        <v/>
      </c>
      <c r="H19" s="22" t="str">
        <f aca="false">IFERROR(INDEX(TeamStatsArchive[PointsAgainst],MATCH($M19,TeamStatsArchive[SeasonPositionKey],0)),"")</f>
        <v/>
      </c>
      <c r="I19" s="22" t="str">
        <f aca="false">IFERROR(INDEX(TeamStatsArchive[PointsDiff],MATCH($M19,TeamStatsArchive[SeasonPositionKey],0)),"")</f>
        <v/>
      </c>
      <c r="J19" s="22" t="str">
        <f aca="false">IFERROR(INDEX(TeamStatsArchive[BonusPoints],MATCH($M19,TeamStatsArchive[SeasonPositionKey],0)),"")</f>
        <v/>
      </c>
      <c r="K19" s="22" t="str">
        <f aca="false">IFERROR(INDEX(TeamStatsArchive[LeaguePoints],MATCH($M19,TeamStatsArchive[SeasonPositionKey],0)),"")</f>
        <v/>
      </c>
      <c r="M19" s="16" t="str">
        <f aca="false">$C$4&amp;"|"&amp;13</f>
        <v>2026/27|13</v>
      </c>
    </row>
    <row r="20" customFormat="false" ht="15" hidden="false" customHeight="false" outlineLevel="0" collapsed="false">
      <c r="A20" s="22" t="str">
        <f aca="false">IFERROR(INDEX(TeamStatsArchive[Position],MATCH($M20,TeamStatsArchive[SeasonPositionKey],0)),"")</f>
        <v/>
      </c>
      <c r="B20" s="22" t="str">
        <f aca="false">IFERROR(INDEX(TeamStatsArchive[Team],MATCH($M20,TeamStatsArchive[SeasonPositionKey],0)),"")</f>
        <v/>
      </c>
      <c r="C20" s="22" t="str">
        <f aca="false">IFERROR(INDEX(TeamStatsArchive[Played],MATCH($M20,TeamStatsArchive[SeasonPositionKey],0)),"")</f>
        <v/>
      </c>
      <c r="D20" s="22" t="str">
        <f aca="false">IFERROR(INDEX(TeamStatsArchive[Won],MATCH($M20,TeamStatsArchive[SeasonPositionKey],0)),"")</f>
        <v/>
      </c>
      <c r="E20" s="22" t="str">
        <f aca="false">IFERROR(INDEX(TeamStatsArchive[Drawn],MATCH($M20,TeamStatsArchive[SeasonPositionKey],0)),"")</f>
        <v/>
      </c>
      <c r="F20" s="22" t="str">
        <f aca="false">IFERROR(INDEX(TeamStatsArchive[Lost],MATCH($M20,TeamStatsArchive[SeasonPositionKey],0)),"")</f>
        <v/>
      </c>
      <c r="G20" s="22" t="str">
        <f aca="false">IFERROR(INDEX(TeamStatsArchive[PointsFor],MATCH($M20,TeamStatsArchive[SeasonPositionKey],0)),"")</f>
        <v/>
      </c>
      <c r="H20" s="22" t="str">
        <f aca="false">IFERROR(INDEX(TeamStatsArchive[PointsAgainst],MATCH($M20,TeamStatsArchive[SeasonPositionKey],0)),"")</f>
        <v/>
      </c>
      <c r="I20" s="22" t="str">
        <f aca="false">IFERROR(INDEX(TeamStatsArchive[PointsDiff],MATCH($M20,TeamStatsArchive[SeasonPositionKey],0)),"")</f>
        <v/>
      </c>
      <c r="J20" s="22" t="str">
        <f aca="false">IFERROR(INDEX(TeamStatsArchive[BonusPoints],MATCH($M20,TeamStatsArchive[SeasonPositionKey],0)),"")</f>
        <v/>
      </c>
      <c r="K20" s="22" t="str">
        <f aca="false">IFERROR(INDEX(TeamStatsArchive[LeaguePoints],MATCH($M20,TeamStatsArchive[SeasonPositionKey],0)),"")</f>
        <v/>
      </c>
      <c r="M20" s="16" t="str">
        <f aca="false">$C$4&amp;"|"&amp;14</f>
        <v>2026/27|14</v>
      </c>
    </row>
    <row r="21" customFormat="false" ht="15" hidden="false" customHeight="false" outlineLevel="0" collapsed="false">
      <c r="A21" s="22" t="str">
        <f aca="false">IFERROR(INDEX(TeamStatsArchive[Position],MATCH($M21,TeamStatsArchive[SeasonPositionKey],0)),"")</f>
        <v/>
      </c>
      <c r="B21" s="22" t="str">
        <f aca="false">IFERROR(INDEX(TeamStatsArchive[Team],MATCH($M21,TeamStatsArchive[SeasonPositionKey],0)),"")</f>
        <v/>
      </c>
      <c r="C21" s="22" t="str">
        <f aca="false">IFERROR(INDEX(TeamStatsArchive[Played],MATCH($M21,TeamStatsArchive[SeasonPositionKey],0)),"")</f>
        <v/>
      </c>
      <c r="D21" s="22" t="str">
        <f aca="false">IFERROR(INDEX(TeamStatsArchive[Won],MATCH($M21,TeamStatsArchive[SeasonPositionKey],0)),"")</f>
        <v/>
      </c>
      <c r="E21" s="22" t="str">
        <f aca="false">IFERROR(INDEX(TeamStatsArchive[Drawn],MATCH($M21,TeamStatsArchive[SeasonPositionKey],0)),"")</f>
        <v/>
      </c>
      <c r="F21" s="22" t="str">
        <f aca="false">IFERROR(INDEX(TeamStatsArchive[Lost],MATCH($M21,TeamStatsArchive[SeasonPositionKey],0)),"")</f>
        <v/>
      </c>
      <c r="G21" s="22" t="str">
        <f aca="false">IFERROR(INDEX(TeamStatsArchive[PointsFor],MATCH($M21,TeamStatsArchive[SeasonPositionKey],0)),"")</f>
        <v/>
      </c>
      <c r="H21" s="22" t="str">
        <f aca="false">IFERROR(INDEX(TeamStatsArchive[PointsAgainst],MATCH($M21,TeamStatsArchive[SeasonPositionKey],0)),"")</f>
        <v/>
      </c>
      <c r="I21" s="22" t="str">
        <f aca="false">IFERROR(INDEX(TeamStatsArchive[PointsDiff],MATCH($M21,TeamStatsArchive[SeasonPositionKey],0)),"")</f>
        <v/>
      </c>
      <c r="J21" s="22" t="str">
        <f aca="false">IFERROR(INDEX(TeamStatsArchive[BonusPoints],MATCH($M21,TeamStatsArchive[SeasonPositionKey],0)),"")</f>
        <v/>
      </c>
      <c r="K21" s="22" t="str">
        <f aca="false">IFERROR(INDEX(TeamStatsArchive[LeaguePoints],MATCH($M21,TeamStatsArchive[SeasonPositionKey],0)),"")</f>
        <v/>
      </c>
      <c r="M21" s="16" t="str">
        <f aca="false">$C$4&amp;"|"&amp;15</f>
        <v>2026/27|15</v>
      </c>
    </row>
    <row r="22" customFormat="false" ht="15" hidden="false" customHeight="false" outlineLevel="0" collapsed="false">
      <c r="A22" s="22" t="str">
        <f aca="false">IFERROR(INDEX(TeamStatsArchive[Position],MATCH($M22,TeamStatsArchive[SeasonPositionKey],0)),"")</f>
        <v/>
      </c>
      <c r="B22" s="22" t="str">
        <f aca="false">IFERROR(INDEX(TeamStatsArchive[Team],MATCH($M22,TeamStatsArchive[SeasonPositionKey],0)),"")</f>
        <v/>
      </c>
      <c r="C22" s="22" t="str">
        <f aca="false">IFERROR(INDEX(TeamStatsArchive[Played],MATCH($M22,TeamStatsArchive[SeasonPositionKey],0)),"")</f>
        <v/>
      </c>
      <c r="D22" s="22" t="str">
        <f aca="false">IFERROR(INDEX(TeamStatsArchive[Won],MATCH($M22,TeamStatsArchive[SeasonPositionKey],0)),"")</f>
        <v/>
      </c>
      <c r="E22" s="22" t="str">
        <f aca="false">IFERROR(INDEX(TeamStatsArchive[Drawn],MATCH($M22,TeamStatsArchive[SeasonPositionKey],0)),"")</f>
        <v/>
      </c>
      <c r="F22" s="22" t="str">
        <f aca="false">IFERROR(INDEX(TeamStatsArchive[Lost],MATCH($M22,TeamStatsArchive[SeasonPositionKey],0)),"")</f>
        <v/>
      </c>
      <c r="G22" s="22" t="str">
        <f aca="false">IFERROR(INDEX(TeamStatsArchive[PointsFor],MATCH($M22,TeamStatsArchive[SeasonPositionKey],0)),"")</f>
        <v/>
      </c>
      <c r="H22" s="22" t="str">
        <f aca="false">IFERROR(INDEX(TeamStatsArchive[PointsAgainst],MATCH($M22,TeamStatsArchive[SeasonPositionKey],0)),"")</f>
        <v/>
      </c>
      <c r="I22" s="22" t="str">
        <f aca="false">IFERROR(INDEX(TeamStatsArchive[PointsDiff],MATCH($M22,TeamStatsArchive[SeasonPositionKey],0)),"")</f>
        <v/>
      </c>
      <c r="J22" s="22" t="str">
        <f aca="false">IFERROR(INDEX(TeamStatsArchive[BonusPoints],MATCH($M22,TeamStatsArchive[SeasonPositionKey],0)),"")</f>
        <v/>
      </c>
      <c r="K22" s="22" t="str">
        <f aca="false">IFERROR(INDEX(TeamStatsArchive[LeaguePoints],MATCH($M22,TeamStatsArchive[SeasonPositionKey],0)),"")</f>
        <v/>
      </c>
      <c r="M22" s="16" t="str">
        <f aca="false">$C$4&amp;"|"&amp;16</f>
        <v>2026/27|16</v>
      </c>
    </row>
  </sheetData>
  <dataValidations count="1">
    <dataValidation allowBlank="true" errorStyle="stop" operator="between" showDropDown="false" showErrorMessage="false" showInputMessage="false" sqref="C4" type="list">
      <formula1>Lists!$A$2:$A$28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4"/>
    <col collapsed="false" customWidth="true" hidden="false" outlineLevel="0" max="5" min="5" style="0" width="6"/>
    <col collapsed="false" customWidth="true" hidden="false" outlineLevel="0" max="6" min="6" style="0" width="20"/>
    <col collapsed="false" customWidth="true" hidden="false" outlineLevel="0" max="7" min="7" style="0" width="22"/>
    <col collapsed="false" customWidth="true" hidden="false" outlineLevel="0" max="8" min="8" style="0" width="8"/>
  </cols>
  <sheetData>
    <row r="1" customFormat="false" ht="19.7" hidden="false" customHeight="false" outlineLevel="0" collapsed="false">
      <c r="A1" s="1" t="s">
        <v>99</v>
      </c>
    </row>
    <row r="3" customFormat="false" ht="16.15" hidden="false" customHeight="false" outlineLevel="0" collapsed="false">
      <c r="A3" s="3" t="s">
        <v>100</v>
      </c>
    </row>
    <row r="4" customFormat="false" ht="26.85" hidden="false" customHeight="true" outlineLevel="0" collapsed="false">
      <c r="A4" s="23" t="s">
        <v>101</v>
      </c>
      <c r="B4" s="23"/>
      <c r="C4" s="21" t="s">
        <v>68</v>
      </c>
    </row>
    <row r="6" customFormat="false" ht="15" hidden="false" customHeight="false" outlineLevel="0" collapsed="false">
      <c r="A6" s="12" t="s">
        <v>63</v>
      </c>
      <c r="B6" s="12" t="s">
        <v>61</v>
      </c>
    </row>
    <row r="7" customFormat="false" ht="15" hidden="false" customHeight="false" outlineLevel="0" collapsed="false">
      <c r="A7" s="14" t="s">
        <v>102</v>
      </c>
      <c r="B7" s="14" t="n">
        <f aca="false">IFERROR(SUMIFS(TeamStatsArchive[LeaguePoints],TeamStatsArchive[Season],A7,TeamStatsArchive[Team],$C$4),"")</f>
        <v>0</v>
      </c>
    </row>
    <row r="8" customFormat="false" ht="15" hidden="false" customHeight="false" outlineLevel="0" collapsed="false">
      <c r="A8" s="14" t="s">
        <v>103</v>
      </c>
      <c r="B8" s="14" t="n">
        <f aca="false">IFERROR(SUMIFS(TeamStatsArchive[LeaguePoints],TeamStatsArchive[Season],A8,TeamStatsArchive[Team],$C$4),"")</f>
        <v>0</v>
      </c>
    </row>
    <row r="9" customFormat="false" ht="15" hidden="false" customHeight="false" outlineLevel="0" collapsed="false">
      <c r="A9" s="14" t="s">
        <v>104</v>
      </c>
      <c r="B9" s="14" t="n">
        <f aca="false">IFERROR(SUMIFS(TeamStatsArchive[LeaguePoints],TeamStatsArchive[Season],A9,TeamStatsArchive[Team],$C$4),"")</f>
        <v>0</v>
      </c>
    </row>
    <row r="10" customFormat="false" ht="15" hidden="false" customHeight="false" outlineLevel="0" collapsed="false">
      <c r="A10" s="14" t="s">
        <v>105</v>
      </c>
      <c r="B10" s="14" t="n">
        <f aca="false">IFERROR(SUMIFS(TeamStatsArchive[LeaguePoints],TeamStatsArchive[Season],A10,TeamStatsArchive[Team],$C$4),"")</f>
        <v>0</v>
      </c>
    </row>
    <row r="11" customFormat="false" ht="15" hidden="false" customHeight="false" outlineLevel="0" collapsed="false">
      <c r="A11" s="14" t="s">
        <v>106</v>
      </c>
      <c r="B11" s="14" t="n">
        <f aca="false">IFERROR(SUMIFS(TeamStatsArchive[LeaguePoints],TeamStatsArchive[Season],A11,TeamStatsArchive[Team],$C$4),"")</f>
        <v>0</v>
      </c>
    </row>
    <row r="12" customFormat="false" ht="15" hidden="false" customHeight="false" outlineLevel="0" collapsed="false">
      <c r="A12" s="14" t="s">
        <v>107</v>
      </c>
      <c r="B12" s="14" t="n">
        <f aca="false">IFERROR(SUMIFS(TeamStatsArchive[LeaguePoints],TeamStatsArchive[Season],A12,TeamStatsArchive[Team],$C$4),"")</f>
        <v>0</v>
      </c>
    </row>
    <row r="13" customFormat="false" ht="15" hidden="false" customHeight="false" outlineLevel="0" collapsed="false">
      <c r="A13" s="14" t="s">
        <v>108</v>
      </c>
      <c r="B13" s="14" t="n">
        <f aca="false">IFERROR(SUMIFS(TeamStatsArchive[LeaguePoints],TeamStatsArchive[Season],A13,TeamStatsArchive[Team],$C$4),"")</f>
        <v>0</v>
      </c>
    </row>
    <row r="14" customFormat="false" ht="15" hidden="false" customHeight="false" outlineLevel="0" collapsed="false">
      <c r="A14" s="14" t="s">
        <v>109</v>
      </c>
      <c r="B14" s="14" t="n">
        <f aca="false">IFERROR(SUMIFS(TeamStatsArchive[LeaguePoints],TeamStatsArchive[Season],A14,TeamStatsArchive[Team],$C$4),"")</f>
        <v>0</v>
      </c>
    </row>
    <row r="15" customFormat="false" ht="15" hidden="false" customHeight="false" outlineLevel="0" collapsed="false">
      <c r="A15" s="14" t="s">
        <v>110</v>
      </c>
      <c r="B15" s="14" t="n">
        <f aca="false">IFERROR(SUMIFS(TeamStatsArchive[LeaguePoints],TeamStatsArchive[Season],A15,TeamStatsArchive[Team],$C$4),"")</f>
        <v>0</v>
      </c>
    </row>
    <row r="16" customFormat="false" ht="15" hidden="false" customHeight="false" outlineLevel="0" collapsed="false">
      <c r="A16" s="14" t="s">
        <v>111</v>
      </c>
      <c r="B16" s="14" t="n">
        <f aca="false">IFERROR(SUMIFS(TeamStatsArchive[LeaguePoints],TeamStatsArchive[Season],A16,TeamStatsArchive[Team],$C$4),"")</f>
        <v>0</v>
      </c>
    </row>
    <row r="17" customFormat="false" ht="15" hidden="false" customHeight="false" outlineLevel="0" collapsed="false">
      <c r="A17" s="14" t="s">
        <v>112</v>
      </c>
      <c r="B17" s="14" t="n">
        <f aca="false">IFERROR(SUMIFS(TeamStatsArchive[LeaguePoints],TeamStatsArchive[Season],A17,TeamStatsArchive[Team],$C$4),"")</f>
        <v>0</v>
      </c>
    </row>
    <row r="18" customFormat="false" ht="15" hidden="false" customHeight="false" outlineLevel="0" collapsed="false">
      <c r="A18" s="14" t="s">
        <v>113</v>
      </c>
      <c r="B18" s="14" t="n">
        <f aca="false">IFERROR(SUMIFS(TeamStatsArchive[LeaguePoints],TeamStatsArchive[Season],A18,TeamStatsArchive[Team],$C$4),"")</f>
        <v>0</v>
      </c>
    </row>
    <row r="19" customFormat="false" ht="15" hidden="false" customHeight="false" outlineLevel="0" collapsed="false">
      <c r="A19" s="14" t="s">
        <v>114</v>
      </c>
      <c r="B19" s="14" t="n">
        <f aca="false">IFERROR(SUMIFS(TeamStatsArchive[LeaguePoints],TeamStatsArchive[Season],A19,TeamStatsArchive[Team],$C$4),"")</f>
        <v>0</v>
      </c>
    </row>
    <row r="20" customFormat="false" ht="15" hidden="false" customHeight="false" outlineLevel="0" collapsed="false">
      <c r="A20" s="14" t="s">
        <v>115</v>
      </c>
      <c r="B20" s="14" t="n">
        <f aca="false">IFERROR(SUMIFS(TeamStatsArchive[LeaguePoints],TeamStatsArchive[Season],A20,TeamStatsArchive[Team],$C$4),"")</f>
        <v>0</v>
      </c>
    </row>
    <row r="21" customFormat="false" ht="15" hidden="false" customHeight="false" outlineLevel="0" collapsed="false">
      <c r="A21" s="14" t="s">
        <v>116</v>
      </c>
      <c r="B21" s="14" t="n">
        <f aca="false">IFERROR(SUMIFS(TeamStatsArchive[LeaguePoints],TeamStatsArchive[Season],A21,TeamStatsArchive[Team],$C$4),"")</f>
        <v>0</v>
      </c>
    </row>
    <row r="22" customFormat="false" ht="15" hidden="false" customHeight="false" outlineLevel="0" collapsed="false">
      <c r="A22" s="14" t="s">
        <v>117</v>
      </c>
      <c r="B22" s="14" t="n">
        <f aca="false">IFERROR(SUMIFS(TeamStatsArchive[LeaguePoints],TeamStatsArchive[Season],A22,TeamStatsArchive[Team],$C$4),"")</f>
        <v>0</v>
      </c>
    </row>
    <row r="23" customFormat="false" ht="15" hidden="false" customHeight="false" outlineLevel="0" collapsed="false">
      <c r="A23" s="14" t="s">
        <v>118</v>
      </c>
      <c r="B23" s="14" t="n">
        <f aca="false">IFERROR(SUMIFS(TeamStatsArchive[LeaguePoints],TeamStatsArchive[Season],A23,TeamStatsArchive[Team],$C$4),"")</f>
        <v>0</v>
      </c>
    </row>
    <row r="24" customFormat="false" ht="15" hidden="false" customHeight="false" outlineLevel="0" collapsed="false">
      <c r="A24" s="14" t="s">
        <v>119</v>
      </c>
      <c r="B24" s="14" t="n">
        <f aca="false">IFERROR(SUMIFS(TeamStatsArchive[LeaguePoints],TeamStatsArchive[Season],A24,TeamStatsArchive[Team],$C$4),"")</f>
        <v>0</v>
      </c>
    </row>
    <row r="25" customFormat="false" ht="15" hidden="false" customHeight="false" outlineLevel="0" collapsed="false">
      <c r="A25" s="14" t="s">
        <v>120</v>
      </c>
      <c r="B25" s="14" t="n">
        <f aca="false">IFERROR(SUMIFS(TeamStatsArchive[LeaguePoints],TeamStatsArchive[Season],A25,TeamStatsArchive[Team],$C$4),"")</f>
        <v>0</v>
      </c>
    </row>
    <row r="26" customFormat="false" ht="15" hidden="false" customHeight="false" outlineLevel="0" collapsed="false">
      <c r="A26" s="14" t="s">
        <v>121</v>
      </c>
      <c r="B26" s="14" t="n">
        <f aca="false">IFERROR(SUMIFS(TeamStatsArchive[LeaguePoints],TeamStatsArchive[Season],A26,TeamStatsArchive[Team],$C$4),"")</f>
        <v>0</v>
      </c>
    </row>
    <row r="27" customFormat="false" ht="15" hidden="false" customHeight="false" outlineLevel="0" collapsed="false">
      <c r="A27" s="14" t="s">
        <v>122</v>
      </c>
      <c r="B27" s="14" t="n">
        <f aca="false">IFERROR(SUMIFS(TeamStatsArchive[LeaguePoints],TeamStatsArchive[Season],A27,TeamStatsArchive[Team],$C$4),"")</f>
        <v>0</v>
      </c>
    </row>
    <row r="28" customFormat="false" ht="15" hidden="false" customHeight="false" outlineLevel="0" collapsed="false">
      <c r="A28" s="14" t="s">
        <v>123</v>
      </c>
      <c r="B28" s="14" t="n">
        <f aca="false">IFERROR(SUMIFS(TeamStatsArchive[LeaguePoints],TeamStatsArchive[Season],A28,TeamStatsArchive[Team],$C$4),"")</f>
        <v>0</v>
      </c>
    </row>
    <row r="29" customFormat="false" ht="15" hidden="false" customHeight="false" outlineLevel="0" collapsed="false">
      <c r="A29" s="14" t="s">
        <v>124</v>
      </c>
      <c r="B29" s="14" t="n">
        <f aca="false">IFERROR(SUMIFS(TeamStatsArchive[LeaguePoints],TeamStatsArchive[Season],A29,TeamStatsArchive[Team],$C$4),"")</f>
        <v>0</v>
      </c>
    </row>
    <row r="30" customFormat="false" ht="15" hidden="false" customHeight="false" outlineLevel="0" collapsed="false">
      <c r="A30" s="14" t="s">
        <v>125</v>
      </c>
      <c r="B30" s="14" t="n">
        <f aca="false">IFERROR(SUMIFS(TeamStatsArchive[LeaguePoints],TeamStatsArchive[Season],A30,TeamStatsArchive[Team],$C$4),"")</f>
        <v>0</v>
      </c>
    </row>
    <row r="31" customFormat="false" ht="15" hidden="false" customHeight="false" outlineLevel="0" collapsed="false">
      <c r="A31" s="14" t="s">
        <v>126</v>
      </c>
      <c r="B31" s="14" t="n">
        <f aca="false">IFERROR(SUMIFS(TeamStatsArchive[LeaguePoints],TeamStatsArchive[Season],A31,TeamStatsArchive[Team],$C$4),"")</f>
        <v>0</v>
      </c>
    </row>
    <row r="32" customFormat="false" ht="15" hidden="false" customHeight="false" outlineLevel="0" collapsed="false">
      <c r="A32" s="14" t="s">
        <v>67</v>
      </c>
      <c r="B32" s="14" t="n">
        <f aca="false">IFERROR(SUMIFS(TeamStatsArchive[LeaguePoints],TeamStatsArchive[Season],A32,TeamStatsArchive[Team],$C$4),"")</f>
        <v>84</v>
      </c>
    </row>
    <row r="33" customFormat="false" ht="15" hidden="false" customHeight="false" outlineLevel="0" collapsed="false">
      <c r="A33" s="14" t="s">
        <v>97</v>
      </c>
      <c r="B33" s="14" t="n">
        <f aca="false">IFERROR(SUMIFS(TeamStatsArchive[LeaguePoints],TeamStatsArchive[Season],A33,TeamStatsArchive[Team],$C$4),"")</f>
        <v>0</v>
      </c>
    </row>
    <row r="36" customFormat="false" ht="16.15" hidden="false" customHeight="false" outlineLevel="0" collapsed="false">
      <c r="A36" s="3" t="s">
        <v>127</v>
      </c>
    </row>
    <row r="37" customFormat="false" ht="15" hidden="false" customHeight="false" outlineLevel="0" collapsed="false">
      <c r="A37" s="9" t="s">
        <v>96</v>
      </c>
      <c r="B37" s="21" t="s">
        <v>97</v>
      </c>
    </row>
    <row r="39" customFormat="false" ht="15" hidden="false" customHeight="false" outlineLevel="0" collapsed="false">
      <c r="A39" s="12" t="s">
        <v>128</v>
      </c>
      <c r="B39" s="12" t="s">
        <v>72</v>
      </c>
      <c r="C39" s="12" t="s">
        <v>52</v>
      </c>
      <c r="D39" s="12" t="s">
        <v>74</v>
      </c>
      <c r="E39" s="12" t="s">
        <v>98</v>
      </c>
    </row>
    <row r="40" customFormat="false" ht="15" hidden="false" customHeight="false" outlineLevel="0" collapsed="false">
      <c r="A40" s="22" t="n">
        <v>1</v>
      </c>
      <c r="B40" s="22" t="str">
        <f aca="false">IFERROR(INDEX(PlayerCoreArchive[Player],MATCH($E40,PlayerCoreArchive[SeasonTriesRankKey],0)),"")</f>
        <v/>
      </c>
      <c r="C40" s="22" t="str">
        <f aca="false">IFERROR(INDEX(PlayerCoreArchive[Team],MATCH($E40,PlayerCoreArchive[SeasonTriesRankKey],0)),"")</f>
        <v/>
      </c>
      <c r="D40" s="22" t="str">
        <f aca="false">IFERROR(INDEX(PlayerCoreArchive[Tries],MATCH($E40,PlayerCoreArchive[SeasonTriesRankKey],0)),"")</f>
        <v/>
      </c>
      <c r="E40" s="16" t="str">
        <f aca="false">$B$37&amp;"|"&amp;A40</f>
        <v>2026/27|1</v>
      </c>
    </row>
    <row r="41" customFormat="false" ht="15" hidden="false" customHeight="false" outlineLevel="0" collapsed="false">
      <c r="A41" s="22" t="n">
        <v>2</v>
      </c>
      <c r="B41" s="22" t="str">
        <f aca="false">IFERROR(INDEX(PlayerCoreArchive[Player],MATCH($E41,PlayerCoreArchive[SeasonTriesRankKey],0)),"")</f>
        <v/>
      </c>
      <c r="C41" s="22" t="str">
        <f aca="false">IFERROR(INDEX(PlayerCoreArchive[Team],MATCH($E41,PlayerCoreArchive[SeasonTriesRankKey],0)),"")</f>
        <v/>
      </c>
      <c r="D41" s="22" t="str">
        <f aca="false">IFERROR(INDEX(PlayerCoreArchive[Tries],MATCH($E41,PlayerCoreArchive[SeasonTriesRankKey],0)),"")</f>
        <v/>
      </c>
      <c r="E41" s="16" t="str">
        <f aca="false">$B$37&amp;"|"&amp;A41</f>
        <v>2026/27|2</v>
      </c>
    </row>
    <row r="42" customFormat="false" ht="15" hidden="false" customHeight="false" outlineLevel="0" collapsed="false">
      <c r="A42" s="22" t="n">
        <v>3</v>
      </c>
      <c r="B42" s="22" t="str">
        <f aca="false">IFERROR(INDEX(PlayerCoreArchive[Player],MATCH($E42,PlayerCoreArchive[SeasonTriesRankKey],0)),"")</f>
        <v/>
      </c>
      <c r="C42" s="22" t="str">
        <f aca="false">IFERROR(INDEX(PlayerCoreArchive[Team],MATCH($E42,PlayerCoreArchive[SeasonTriesRankKey],0)),"")</f>
        <v/>
      </c>
      <c r="D42" s="22" t="str">
        <f aca="false">IFERROR(INDEX(PlayerCoreArchive[Tries],MATCH($E42,PlayerCoreArchive[SeasonTriesRankKey],0)),"")</f>
        <v/>
      </c>
      <c r="E42" s="16" t="str">
        <f aca="false">$B$37&amp;"|"&amp;A42</f>
        <v>2026/27|3</v>
      </c>
    </row>
    <row r="43" customFormat="false" ht="15" hidden="false" customHeight="false" outlineLevel="0" collapsed="false">
      <c r="A43" s="22" t="n">
        <v>4</v>
      </c>
      <c r="B43" s="22" t="str">
        <f aca="false">IFERROR(INDEX(PlayerCoreArchive[Player],MATCH($E43,PlayerCoreArchive[SeasonTriesRankKey],0)),"")</f>
        <v/>
      </c>
      <c r="C43" s="22" t="str">
        <f aca="false">IFERROR(INDEX(PlayerCoreArchive[Team],MATCH($E43,PlayerCoreArchive[SeasonTriesRankKey],0)),"")</f>
        <v/>
      </c>
      <c r="D43" s="22" t="str">
        <f aca="false">IFERROR(INDEX(PlayerCoreArchive[Tries],MATCH($E43,PlayerCoreArchive[SeasonTriesRankKey],0)),"")</f>
        <v/>
      </c>
      <c r="E43" s="16" t="str">
        <f aca="false">$B$37&amp;"|"&amp;A43</f>
        <v>2026/27|4</v>
      </c>
    </row>
    <row r="44" customFormat="false" ht="15" hidden="false" customHeight="false" outlineLevel="0" collapsed="false">
      <c r="A44" s="22" t="n">
        <v>5</v>
      </c>
      <c r="B44" s="22" t="str">
        <f aca="false">IFERROR(INDEX(PlayerCoreArchive[Player],MATCH($E44,PlayerCoreArchive[SeasonTriesRankKey],0)),"")</f>
        <v/>
      </c>
      <c r="C44" s="22" t="str">
        <f aca="false">IFERROR(INDEX(PlayerCoreArchive[Team],MATCH($E44,PlayerCoreArchive[SeasonTriesRankKey],0)),"")</f>
        <v/>
      </c>
      <c r="D44" s="22" t="str">
        <f aca="false">IFERROR(INDEX(PlayerCoreArchive[Tries],MATCH($E44,PlayerCoreArchive[SeasonTriesRankKey],0)),"")</f>
        <v/>
      </c>
      <c r="E44" s="16" t="str">
        <f aca="false">$B$37&amp;"|"&amp;A44</f>
        <v>2026/27|5</v>
      </c>
    </row>
    <row r="45" customFormat="false" ht="15" hidden="false" customHeight="false" outlineLevel="0" collapsed="false">
      <c r="A45" s="22" t="n">
        <v>6</v>
      </c>
      <c r="B45" s="22" t="str">
        <f aca="false">IFERROR(INDEX(PlayerCoreArchive[Player],MATCH($E45,PlayerCoreArchive[SeasonTriesRankKey],0)),"")</f>
        <v/>
      </c>
      <c r="C45" s="22" t="str">
        <f aca="false">IFERROR(INDEX(PlayerCoreArchive[Team],MATCH($E45,PlayerCoreArchive[SeasonTriesRankKey],0)),"")</f>
        <v/>
      </c>
      <c r="D45" s="22" t="str">
        <f aca="false">IFERROR(INDEX(PlayerCoreArchive[Tries],MATCH($E45,PlayerCoreArchive[SeasonTriesRankKey],0)),"")</f>
        <v/>
      </c>
      <c r="E45" s="16" t="str">
        <f aca="false">$B$37&amp;"|"&amp;A45</f>
        <v>2026/27|6</v>
      </c>
    </row>
    <row r="46" customFormat="false" ht="15" hidden="false" customHeight="false" outlineLevel="0" collapsed="false">
      <c r="A46" s="22" t="n">
        <v>7</v>
      </c>
      <c r="B46" s="22" t="str">
        <f aca="false">IFERROR(INDEX(PlayerCoreArchive[Player],MATCH($E46,PlayerCoreArchive[SeasonTriesRankKey],0)),"")</f>
        <v/>
      </c>
      <c r="C46" s="22" t="str">
        <f aca="false">IFERROR(INDEX(PlayerCoreArchive[Team],MATCH($E46,PlayerCoreArchive[SeasonTriesRankKey],0)),"")</f>
        <v/>
      </c>
      <c r="D46" s="22" t="str">
        <f aca="false">IFERROR(INDEX(PlayerCoreArchive[Tries],MATCH($E46,PlayerCoreArchive[SeasonTriesRankKey],0)),"")</f>
        <v/>
      </c>
      <c r="E46" s="16" t="str">
        <f aca="false">$B$37&amp;"|"&amp;A46</f>
        <v>2026/27|7</v>
      </c>
    </row>
    <row r="47" customFormat="false" ht="15" hidden="false" customHeight="false" outlineLevel="0" collapsed="false">
      <c r="A47" s="22" t="n">
        <v>8</v>
      </c>
      <c r="B47" s="22" t="str">
        <f aca="false">IFERROR(INDEX(PlayerCoreArchive[Player],MATCH($E47,PlayerCoreArchive[SeasonTriesRankKey],0)),"")</f>
        <v/>
      </c>
      <c r="C47" s="22" t="str">
        <f aca="false">IFERROR(INDEX(PlayerCoreArchive[Team],MATCH($E47,PlayerCoreArchive[SeasonTriesRankKey],0)),"")</f>
        <v/>
      </c>
      <c r="D47" s="22" t="str">
        <f aca="false">IFERROR(INDEX(PlayerCoreArchive[Tries],MATCH($E47,PlayerCoreArchive[SeasonTriesRankKey],0)),"")</f>
        <v/>
      </c>
      <c r="E47" s="16" t="str">
        <f aca="false">$B$37&amp;"|"&amp;A47</f>
        <v>2026/27|8</v>
      </c>
    </row>
    <row r="48" customFormat="false" ht="15" hidden="false" customHeight="false" outlineLevel="0" collapsed="false">
      <c r="A48" s="22" t="n">
        <v>9</v>
      </c>
      <c r="B48" s="22" t="str">
        <f aca="false">IFERROR(INDEX(PlayerCoreArchive[Player],MATCH($E48,PlayerCoreArchive[SeasonTriesRankKey],0)),"")</f>
        <v/>
      </c>
      <c r="C48" s="22" t="str">
        <f aca="false">IFERROR(INDEX(PlayerCoreArchive[Team],MATCH($E48,PlayerCoreArchive[SeasonTriesRankKey],0)),"")</f>
        <v/>
      </c>
      <c r="D48" s="22" t="str">
        <f aca="false">IFERROR(INDEX(PlayerCoreArchive[Tries],MATCH($E48,PlayerCoreArchive[SeasonTriesRankKey],0)),"")</f>
        <v/>
      </c>
      <c r="E48" s="16" t="str">
        <f aca="false">$B$37&amp;"|"&amp;A48</f>
        <v>2026/27|9</v>
      </c>
    </row>
    <row r="49" customFormat="false" ht="15" hidden="false" customHeight="false" outlineLevel="0" collapsed="false">
      <c r="A49" s="22" t="n">
        <v>10</v>
      </c>
      <c r="B49" s="22" t="str">
        <f aca="false">IFERROR(INDEX(PlayerCoreArchive[Player],MATCH($E49,PlayerCoreArchive[SeasonTriesRankKey],0)),"")</f>
        <v/>
      </c>
      <c r="C49" s="22" t="str">
        <f aca="false">IFERROR(INDEX(PlayerCoreArchive[Team],MATCH($E49,PlayerCoreArchive[SeasonTriesRankKey],0)),"")</f>
        <v/>
      </c>
      <c r="D49" s="22" t="str">
        <f aca="false">IFERROR(INDEX(PlayerCoreArchive[Tries],MATCH($E49,PlayerCoreArchive[SeasonTriesRankKey],0)),"")</f>
        <v/>
      </c>
      <c r="E49" s="16" t="str">
        <f aca="false">$B$37&amp;"|"&amp;A49</f>
        <v>2026/27|10</v>
      </c>
    </row>
  </sheetData>
  <mergeCells count="1">
    <mergeCell ref="A4:B4"/>
  </mergeCells>
  <dataValidations count="1">
    <dataValidation allowBlank="true" errorStyle="stop" operator="between" showDropDown="false" showErrorMessage="false" showInputMessage="false" sqref="B37" type="list">
      <formula1>Lists!$A$2:$A$28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129</v>
      </c>
    </row>
    <row r="3" customFormat="false" ht="30" hidden="false" customHeight="true" outlineLevel="0" collapsed="false">
      <c r="A3" s="4" t="s">
        <v>130</v>
      </c>
    </row>
    <row r="4" customFormat="false" ht="30" hidden="false" customHeight="true" outlineLevel="0" collapsed="false">
      <c r="A4" s="4" t="s">
        <v>131</v>
      </c>
    </row>
    <row r="5" customFormat="false" ht="16.15" hidden="false" customHeight="false" outlineLevel="0" collapsed="false">
      <c r="A5" s="24" t="s">
        <v>132</v>
      </c>
    </row>
    <row r="6" customFormat="false" ht="30" hidden="false" customHeight="true" outlineLevel="0" collapsed="false">
      <c r="A6" s="4" t="s">
        <v>133</v>
      </c>
    </row>
    <row r="7" customFormat="false" ht="30" hidden="false" customHeight="true" outlineLevel="0" collapsed="false">
      <c r="A7" s="4" t="s">
        <v>134</v>
      </c>
    </row>
    <row r="8" customFormat="false" ht="30" hidden="false" customHeight="true" outlineLevel="0" collapsed="false">
      <c r="A8" s="4" t="s">
        <v>135</v>
      </c>
    </row>
    <row r="9" customFormat="false" ht="30" hidden="false" customHeight="true" outlineLevel="0" collapsed="false">
      <c r="A9" s="4" t="s">
        <v>136</v>
      </c>
    </row>
    <row r="10" customFormat="false" ht="16.15" hidden="false" customHeight="false" outlineLevel="0" collapsed="false">
      <c r="A10" s="24" t="s">
        <v>137</v>
      </c>
    </row>
    <row r="11" customFormat="false" ht="420" hidden="false" customHeight="true" outlineLevel="0" collapsed="false">
      <c r="A11" s="25"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s>
  <sheetData>
    <row r="1" customFormat="false" ht="15" hidden="false" customHeight="false" outlineLevel="0" collapsed="false">
      <c r="A1" s="9" t="s">
        <v>63</v>
      </c>
      <c r="B1" s="14"/>
    </row>
    <row r="2" customFormat="false" ht="15" hidden="false" customHeight="false" outlineLevel="0" collapsed="false">
      <c r="A2" s="14" t="s">
        <v>102</v>
      </c>
      <c r="B2" s="14"/>
    </row>
    <row r="3" customFormat="false" ht="15" hidden="false" customHeight="false" outlineLevel="0" collapsed="false">
      <c r="A3" s="14" t="s">
        <v>103</v>
      </c>
      <c r="B3" s="14"/>
    </row>
    <row r="4" customFormat="false" ht="15" hidden="false" customHeight="false" outlineLevel="0" collapsed="false">
      <c r="A4" s="14" t="s">
        <v>104</v>
      </c>
      <c r="B4" s="14"/>
    </row>
    <row r="5" customFormat="false" ht="15" hidden="false" customHeight="false" outlineLevel="0" collapsed="false">
      <c r="A5" s="14" t="s">
        <v>105</v>
      </c>
      <c r="B5" s="14"/>
    </row>
    <row r="6" customFormat="false" ht="15" hidden="false" customHeight="false" outlineLevel="0" collapsed="false">
      <c r="A6" s="14" t="s">
        <v>106</v>
      </c>
      <c r="B6" s="14"/>
    </row>
    <row r="7" customFormat="false" ht="15" hidden="false" customHeight="false" outlineLevel="0" collapsed="false">
      <c r="A7" s="14" t="s">
        <v>107</v>
      </c>
      <c r="B7" s="14"/>
    </row>
    <row r="8" customFormat="false" ht="15" hidden="false" customHeight="false" outlineLevel="0" collapsed="false">
      <c r="A8" s="14" t="s">
        <v>108</v>
      </c>
      <c r="B8" s="14"/>
    </row>
    <row r="9" customFormat="false" ht="15" hidden="false" customHeight="false" outlineLevel="0" collapsed="false">
      <c r="A9" s="14" t="s">
        <v>109</v>
      </c>
      <c r="B9" s="14"/>
    </row>
    <row r="10" customFormat="false" ht="15" hidden="false" customHeight="false" outlineLevel="0" collapsed="false">
      <c r="A10" s="14" t="s">
        <v>110</v>
      </c>
      <c r="B10" s="14"/>
    </row>
    <row r="11" customFormat="false" ht="15" hidden="false" customHeight="false" outlineLevel="0" collapsed="false">
      <c r="A11" s="14" t="s">
        <v>111</v>
      </c>
      <c r="B11" s="14"/>
    </row>
    <row r="12" customFormat="false" ht="15" hidden="false" customHeight="false" outlineLevel="0" collapsed="false">
      <c r="A12" s="14" t="s">
        <v>112</v>
      </c>
      <c r="B12" s="14"/>
    </row>
    <row r="13" customFormat="false" ht="15" hidden="false" customHeight="false" outlineLevel="0" collapsed="false">
      <c r="A13" s="14" t="s">
        <v>113</v>
      </c>
      <c r="B13" s="14"/>
    </row>
    <row r="14" customFormat="false" ht="15" hidden="false" customHeight="false" outlineLevel="0" collapsed="false">
      <c r="A14" s="14" t="s">
        <v>114</v>
      </c>
      <c r="B14" s="14"/>
    </row>
    <row r="15" customFormat="false" ht="15" hidden="false" customHeight="false" outlineLevel="0" collapsed="false">
      <c r="A15" s="14" t="s">
        <v>115</v>
      </c>
      <c r="B15" s="14"/>
    </row>
    <row r="16" customFormat="false" ht="15" hidden="false" customHeight="false" outlineLevel="0" collapsed="false">
      <c r="A16" s="14" t="s">
        <v>116</v>
      </c>
      <c r="B16" s="14"/>
    </row>
    <row r="17" customFormat="false" ht="15" hidden="false" customHeight="false" outlineLevel="0" collapsed="false">
      <c r="A17" s="14" t="s">
        <v>117</v>
      </c>
      <c r="B17" s="14"/>
    </row>
    <row r="18" customFormat="false" ht="15" hidden="false" customHeight="false" outlineLevel="0" collapsed="false">
      <c r="A18" s="14" t="s">
        <v>118</v>
      </c>
      <c r="B18" s="14"/>
    </row>
    <row r="19" customFormat="false" ht="15" hidden="false" customHeight="false" outlineLevel="0" collapsed="false">
      <c r="A19" s="14" t="s">
        <v>119</v>
      </c>
      <c r="B19" s="14"/>
    </row>
    <row r="20" customFormat="false" ht="15" hidden="false" customHeight="false" outlineLevel="0" collapsed="false">
      <c r="A20" s="14" t="s">
        <v>120</v>
      </c>
      <c r="B20" s="14"/>
    </row>
    <row r="21" customFormat="false" ht="15" hidden="false" customHeight="false" outlineLevel="0" collapsed="false">
      <c r="A21" s="14" t="s">
        <v>121</v>
      </c>
      <c r="B21" s="14"/>
    </row>
    <row r="22" customFormat="false" ht="15" hidden="false" customHeight="false" outlineLevel="0" collapsed="false">
      <c r="A22" s="14" t="s">
        <v>122</v>
      </c>
      <c r="B22" s="14"/>
    </row>
    <row r="23" customFormat="false" ht="15" hidden="false" customHeight="false" outlineLevel="0" collapsed="false">
      <c r="A23" s="14" t="s">
        <v>123</v>
      </c>
      <c r="B23" s="14"/>
    </row>
    <row r="24" customFormat="false" ht="15" hidden="false" customHeight="false" outlineLevel="0" collapsed="false">
      <c r="A24" s="14" t="s">
        <v>124</v>
      </c>
      <c r="B24" s="14"/>
    </row>
    <row r="25" customFormat="false" ht="15" hidden="false" customHeight="false" outlineLevel="0" collapsed="false">
      <c r="A25" s="14" t="s">
        <v>125</v>
      </c>
      <c r="B25" s="14"/>
    </row>
    <row r="26" customFormat="false" ht="15" hidden="false" customHeight="false" outlineLevel="0" collapsed="false">
      <c r="A26" s="14" t="s">
        <v>126</v>
      </c>
      <c r="B26" s="14"/>
    </row>
    <row r="27" customFormat="false" ht="15" hidden="false" customHeight="false" outlineLevel="0" collapsed="false">
      <c r="A27" s="14" t="s">
        <v>67</v>
      </c>
      <c r="B27" s="14"/>
    </row>
    <row r="28" customFormat="false" ht="15" hidden="false" customHeight="false" outlineLevel="0" collapsed="false">
      <c r="A28" s="14" t="s">
        <v>97</v>
      </c>
      <c r="B28" s="14"/>
    </row>
    <row r="29" customFormat="false" ht="15" hidden="false" customHeight="false" outlineLevel="0" collapsed="false">
      <c r="A29" s="14"/>
      <c r="B29" s="14"/>
    </row>
    <row r="30" customFormat="false" ht="15" hidden="false" customHeight="false" outlineLevel="0" collapsed="false">
      <c r="A30" s="14"/>
      <c r="B3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2026-08-03T22:17:55Z</dcterms:created>
  <dc:creator>openpyxl</dc:creator>
  <dc:description/>
  <dc:language>en-US</dc:language>
  <cp:lastModifiedBy/>
  <dcterms:modified xsi:type="dcterms:W3CDTF">2026-08-03T22:17:58Z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